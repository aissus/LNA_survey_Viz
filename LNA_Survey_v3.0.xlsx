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9"/>
  <workbookPr/>
  <mc:AlternateContent xmlns:mc="http://schemas.openxmlformats.org/markup-compatibility/2006">
    <mc:Choice Requires="x15">
      <x15ac:absPath xmlns:x15ac="http://schemas.microsoft.com/office/spreadsheetml/2010/11/ac" url="/Users/cturner/Downloads/"/>
    </mc:Choice>
  </mc:AlternateContent>
  <xr:revisionPtr revIDLastSave="0" documentId="13_ncr:1_{34E2EA18-9D6F-1E44-A99B-518F1F4D222B}" xr6:coauthVersionLast="47" xr6:coauthVersionMax="47" xr10:uidLastSave="{00000000-0000-0000-0000-000000000000}"/>
  <bookViews>
    <workbookView xWindow="0" yWindow="620" windowWidth="47340" windowHeight="21340" xr2:uid="{00000000-000D-0000-FFFF-FFFF00000000}"/>
  </bookViews>
  <sheets>
    <sheet name="Readme" sheetId="5" r:id="rId1"/>
    <sheet name="All" sheetId="3" r:id="rId2"/>
    <sheet name="Plot_NF_Vs_Frequency" sheetId="4" r:id="rId3"/>
  </sheets>
  <definedNames>
    <definedName name="_xlnm._FilterDatabase" localSheetId="1" hidden="1">All!$A$1:$R$1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<sst xmlns="http://schemas.openxmlformats.org/spreadsheetml/2006/main" count="2674" uniqueCount="997">
  <si>
    <t>Low Noise Amplifier Noise Figure Survey 2018-Present</t>
  </si>
  <si>
    <t>Hua Wang, Integrated Devices, Electronics, And Systems (IDEAS) Lab</t>
  </si>
  <si>
    <t>Dept. of Information Technology and Electrical Engineering, ETH Zurich</t>
  </si>
  <si>
    <t>1. Ojective and Introduction:</t>
  </si>
  <si>
    <t>This document collects the published silicon/SiGe low noise amplifier (LNAs) noise figure from 2018 to present, focusing on LNAs with carrier frequencies from 500 MHz to 300 GHz and LNAs implemented in commercially available technologies including bulk CMOS, CMOS SOI, SiGe/SiGe BiCMOS, and FinFET technologies. The purpose of this document is to help the scientific community identify the technology trends, technology needs, performance progress, and performance limits in LNAs over carrier frequency and device technology, etc. In addition, the LNA dataset can be useful for planning and architecting of RF/mm-Wave systems, such as 5G/6G communication, SATCOM, and radar/imaging/sensing applications.</t>
  </si>
  <si>
    <t>2. If you use this data collection in your publications and presentations, please cite it as follows:</t>
  </si>
  <si>
    <t>Hua Wang, Argyro Kamperi, Boce Lin, Basem Abdelaziz Abdelmagid Ali, "Low Noise Amplifier Noise Figure Survey 2018-present," [Online]. Available: https://ideas.ethz.ch/Surveys/lna-survey.html</t>
  </si>
  <si>
    <t>3. Acknowledgement:</t>
  </si>
  <si>
    <t>We would like to sincerely thank many of our friends and colleagues for their helpful suggestions and insightful discussions.</t>
  </si>
  <si>
    <t>4. Feedback and Suggestions:</t>
  </si>
  <si>
    <t>We welcome your feedback and suggestions, including the ways we interpret and present the data. In addition, although we try to be as inclusive as possible when collecting these published data, we may miss some representative LNA designs. Please feel free to send us feedback, suggestions, or missing LNA papers.</t>
  </si>
  <si>
    <r>
      <t xml:space="preserve">Please contact us through </t>
    </r>
    <r>
      <rPr>
        <b/>
        <sz val="10"/>
        <rFont val="Arial"/>
        <family val="2"/>
      </rPr>
      <t>boclin@ethz.ch</t>
    </r>
    <r>
      <rPr>
        <sz val="10"/>
        <rFont val="Arial"/>
        <family val="2"/>
      </rPr>
      <t xml:space="preserve">. </t>
    </r>
  </si>
  <si>
    <t>5. Source conferences and journals for this data collection:</t>
  </si>
  <si>
    <t>We focus on peer-reviewed and publicly accessible publications that are typical forums for LNAs, including IEEE ISSCC, JSSC, RFIC, VLSI, CICC, ESSCIRC, IMS, T-MTT, TCAS, BCICTS , APMC, EuMC, and MWCL.</t>
  </si>
  <si>
    <t>6. Notes:</t>
  </si>
  <si>
    <r>
      <t xml:space="preserve">   6.1 Note on dataset files "LNA_Survey_v1" in the Version 1.0 release: </t>
    </r>
    <r>
      <rPr>
        <sz val="10"/>
        <rFont val="Arial"/>
        <family val="2"/>
      </rPr>
      <t>This LNA survey focus on silicon/SiGe low noise amplifiers. We only include the noise figure and the reported designed frequencies.</t>
    </r>
  </si>
  <si>
    <r>
      <t xml:space="preserve">   6.2 Note on dataset files "LNA_Survey_v2" in the Version 2.0 release: </t>
    </r>
    <r>
      <rPr>
        <sz val="10"/>
        <rFont val="Arial"/>
        <family val="2"/>
      </rPr>
      <t xml:space="preserve">The LNA datasets for SiGe BiCMOS and SiGe are merged as SiGe LNAs. One FinFET LNA design is added. </t>
    </r>
  </si>
  <si>
    <t>Thanks,</t>
  </si>
  <si>
    <t>Hua Wang</t>
  </si>
  <si>
    <t>7. Revisions History:</t>
  </si>
  <si>
    <r>
      <rPr>
        <b/>
        <sz val="10"/>
        <rFont val="Arial"/>
        <family val="2"/>
      </rPr>
      <t>20220721:</t>
    </r>
    <r>
      <rPr>
        <sz val="10"/>
        <rFont val="Arial"/>
        <family val="2"/>
      </rPr>
      <t xml:space="preserve"> This is the first public release (Version 1.0) that includes LNAs from 500 MHz to 300 GHz and LNAs implemented in commercially available technologies including bulk CMOS, CMOS SOI, SiGe and SiGe BiCMOS technologies. The dataset contains total 216 data points. Only LNA designs reported in peer-reviewed publications are included. </t>
    </r>
  </si>
  <si>
    <r>
      <rPr>
        <b/>
        <sz val="10"/>
        <color rgb="FF000000"/>
        <rFont val="Arial"/>
      </rPr>
      <t>20230612:</t>
    </r>
    <r>
      <rPr>
        <sz val="10"/>
        <color rgb="FF000000"/>
        <rFont val="Arial"/>
      </rPr>
      <t xml:space="preserve"> This is the second public release (Version 2.0) that includes LNAs from 500 MHz to 300 GHz and LNAs implemented in commercially available technologies including bulk CMOS, CMOS SOI, SiGe/SiGe BiCMOS and FinFET technologies. The dataset contains total 262 data points. Only LNA designs reported in peer-reviewed publications are included. </t>
    </r>
  </si>
  <si>
    <r>
      <rPr>
        <b/>
        <sz val="10"/>
        <color rgb="FF000000"/>
        <rFont val="Arial"/>
      </rPr>
      <t>20250707:</t>
    </r>
    <r>
      <rPr>
        <sz val="10"/>
        <color rgb="FF000000"/>
        <rFont val="Arial"/>
      </rPr>
      <t xml:space="preserve"> This is the third public release (Version 3.0) that includes LNAs from 500 MHz to 300 GHz and LNAs implemented in commercially available technologies including bulk CMOS, CMOS SOI, SiGe/SiGe BiCMOS and FinFET technologies. The dataset contains total 472 data points. Only LNA designs reported in peer-reviewed publications are included.</t>
    </r>
  </si>
  <si>
    <t>Publication</t>
  </si>
  <si>
    <t>Year</t>
  </si>
  <si>
    <t>Month</t>
  </si>
  <si>
    <t>Last Name (1st Author)</t>
  </si>
  <si>
    <t>Paper Title</t>
  </si>
  <si>
    <t>Process</t>
  </si>
  <si>
    <t>Node (nm)</t>
  </si>
  <si>
    <t>f@NFmin (GHz)</t>
  </si>
  <si>
    <t>NFmin</t>
  </si>
  <si>
    <t>fc</t>
  </si>
  <si>
    <t>NF</t>
  </si>
  <si>
    <t>Gain (dB)</t>
  </si>
  <si>
    <t>P1dB (dBm)</t>
  </si>
  <si>
    <t>I/O P1dB</t>
  </si>
  <si>
    <t>IIP3 (dBm)</t>
  </si>
  <si>
    <t>3dB BW (GHz)</t>
  </si>
  <si>
    <t>Power(mW)</t>
  </si>
  <si>
    <t>Comment</t>
  </si>
  <si>
    <t>ASSCC</t>
  </si>
  <si>
    <t>Xu</t>
  </si>
  <si>
    <t>An n79 Sub-1-dB Noise Figure Highly Linear Variable_x0002_Gain LNA Employing Adaptive Imbalanced Bleeding for 5G NR</t>
  </si>
  <si>
    <t>CMOS</t>
  </si>
  <si>
    <t>JSSC</t>
  </si>
  <si>
    <t>Peng</t>
  </si>
  <si>
    <t>A Cryogenic Broadband Sub-1-dB NF CMOS Low Noise Amplifier for Quantum Applications</t>
  </si>
  <si>
    <t>RFIC</t>
  </si>
  <si>
    <t>Zou</t>
  </si>
  <si>
    <t>A Capacitor Assisting Triple-Winding Transformer Low-Noise Amplifier with 0.8-1.5dB NF 6-12GHz BW 0.75dB Ripple in 130nm SOI CMOS</t>
  </si>
  <si>
    <t>CMOS SOI</t>
  </si>
  <si>
    <t>EuMA</t>
  </si>
  <si>
    <t>Ozdol</t>
  </si>
  <si>
    <t>A High Linearity 6 GHz LNA in 130 nm SiGe Technology</t>
  </si>
  <si>
    <t>SiGe BiCMOS</t>
  </si>
  <si>
    <t>IMS</t>
  </si>
  <si>
    <t>Li</t>
  </si>
  <si>
    <t>LNA Design with CMOS SOI Process—1.4dB NF K/Ka band LNA</t>
  </si>
  <si>
    <t>TMTT</t>
  </si>
  <si>
    <t>Huynh</t>
  </si>
  <si>
    <t>Dual-Resistive Feedback Wideband LNA for Noise Cancellation and Robust Linearization</t>
  </si>
  <si>
    <t>ISSCC</t>
  </si>
  <si>
    <t>Yang</t>
  </si>
  <si>
    <t>A Hybrid Coupler-First 5GHz Noise-Cancelling Dual-Mode Receiver with +10dBm In-Band IIP3 in Current-Mode and 1.7dB NF in Voltage-Mode</t>
  </si>
  <si>
    <t>Zhao</t>
  </si>
  <si>
    <t>A K-Band Hybrid-Packaged Temperature-Compensated Phased-Array Receiver and Integrated Antenna Array</t>
  </si>
  <si>
    <t>System</t>
  </si>
  <si>
    <t>Cui</t>
  </si>
  <si>
    <t>A 1.7-dB Minimum NF, 22–32-GHz Low-Noise Feedback Amplifier With Multistage Noise Matching in 22-nm FD-SOI CMOS</t>
  </si>
  <si>
    <t>Huang</t>
  </si>
  <si>
    <t>28 GHz Compact LNAs with 1.9 dB NF Using Folded Three-Coil Transformer and Dual-Feedforward Techniques in 65nm CMOS</t>
  </si>
  <si>
    <t>Zhou</t>
  </si>
  <si>
    <t>A 0.1–3.5-GHz Inductorless Noise-Canceling CMOS LNA With IIP3 Optimization Technique</t>
  </si>
  <si>
    <t>Radpour</t>
  </si>
  <si>
    <t>An LNAwith Input Power Match from 6.1 to 38.6 GHz, the Noise-Figure Minimum of 1.9 dB, and Employing Back Gate for Matching</t>
  </si>
  <si>
    <t>Early Access</t>
  </si>
  <si>
    <t>Wang</t>
  </si>
  <si>
    <t>A Ka-Band SATCOM Transceiver in 65-nm CMOS With High-Linearity TX and Dual-Channel Wide-Dynamic-Range RX for Terrestrial Terminal</t>
  </si>
  <si>
    <t>EuMiC</t>
  </si>
  <si>
    <t>Ozkan</t>
  </si>
  <si>
    <t>A High-Gain SiGe BiCMOS LNA for 5G In-Band Full-Duplex Applications</t>
  </si>
  <si>
    <t>El-Aassar</t>
  </si>
  <si>
    <t>Design of Low-Power Sub-2.4 dB Mean NF 5G LNAs Using Forward Body Bias in 22 nm FDSOI</t>
  </si>
  <si>
    <t>MWTL</t>
  </si>
  <si>
    <t>Cai</t>
  </si>
  <si>
    <t>A Sub-GHz Low-Power Receiver Employing Resistive-Feedback-Tuned LNA With 2.1-dB NF and 106-dB Gain Tuning Range</t>
  </si>
  <si>
    <t>TCAS II</t>
  </si>
  <si>
    <t>Kobal</t>
  </si>
  <si>
    <t>A Compact, Low-Power, Low-NF, Millimeter-Wave Cascode LNA With Magnetic Coupling Feedback in 22-nm FD-SOI CMOS for 5G Applications</t>
  </si>
  <si>
    <t>A 24.5–43.5-GHz Ultra-Compact CMOS Receiver Front End With Calibration-Free Instantaneous Full-Band Image Rejection for Multiband 5G Massive MIMO</t>
  </si>
  <si>
    <t>Simulated</t>
  </si>
  <si>
    <t>ICEEICT</t>
  </si>
  <si>
    <t>Shukala</t>
  </si>
  <si>
    <t>90-nm Dual-Band CMOS LNA with Gain Enhancement for Wireless LAN Applications</t>
  </si>
  <si>
    <t>Choi</t>
  </si>
  <si>
    <t>A CMOS Band-Pass Low Noise Amplifier with Excellent Gain Flatness for mm-Wave 5G Communications</t>
  </si>
  <si>
    <t>Zhang</t>
  </si>
  <si>
    <t>A CMOS LNA with Transformer-Based Integrated Notch Filter for Ku-Band Satellite Communications</t>
  </si>
  <si>
    <t>EuMC</t>
  </si>
  <si>
    <t>Fumagalli</t>
  </si>
  <si>
    <t>20 GHz LNA and 29 GHz PA on SiGe BiCMOS  technology for SatCom phased array systems</t>
  </si>
  <si>
    <t>SiGe BICMOS</t>
  </si>
  <si>
    <t>TCAS I</t>
  </si>
  <si>
    <t>24–35 GHz Filtering LNA and Filtering Switch Using Compact Mixed Magnetic-Electric Coupling Circuit in 28-nm Bulk CMOS</t>
  </si>
  <si>
    <t>MWCL</t>
  </si>
  <si>
    <t>Hu</t>
  </si>
  <si>
    <t>A 27–46-GHz Low-Noise Amplifier With Dual-Resonant Input Matching and a Transformer-Based Broadband Output Network</t>
  </si>
  <si>
    <t>TCAS</t>
  </si>
  <si>
    <t>A Systematic Approach to Designing Broadband Millimeter-Wave Cascode Common-Source With Inductive Degeneration Low Noise Amplifiers</t>
  </si>
  <si>
    <t>Meng</t>
  </si>
  <si>
    <t>A K-Band Ultra-Compact Gm-Boost LNA Using One Multi-Coupled Transformer in 65-nm CMOS</t>
  </si>
  <si>
    <t>TCSI</t>
  </si>
  <si>
    <t>Bozorg</t>
  </si>
  <si>
    <t>A 20 MHz–2 GHz Inductorless Two-Fold Noise-Canceling Low-Noise Amplifier in 28-nm CMOS</t>
  </si>
  <si>
    <t>APMC</t>
  </si>
  <si>
    <t>Seguchi</t>
  </si>
  <si>
    <t>1.40/2.42/4.21-GHz Triple-Band Concurrent LNA  Using Inductor Coupling</t>
  </si>
  <si>
    <t>ICICM</t>
  </si>
  <si>
    <t>Linling</t>
  </si>
  <si>
    <t>A Wideband Low-Noise Amplifier in 0.13-μm CMOS</t>
  </si>
  <si>
    <t>Lin</t>
  </si>
  <si>
    <t xml:space="preserve">22-33 GHz CMOS LNA Using Coupled-TL Feedback and Body Self-Forward-Bias for 28 GHz 5G System </t>
  </si>
  <si>
    <t>Design and Analysis of a Wideband K/Ka-Band CMOS LNA Using Coupled-TL Feedback</t>
  </si>
  <si>
    <t>BCICTS</t>
  </si>
  <si>
    <t>Alhamed</t>
  </si>
  <si>
    <t>A 28–37 GHz Triple-Stage Transformer-Coupled SiGe LNA with 2.5 dB Minimum NF for Low Power Wideband Phased Array Receivers</t>
  </si>
  <si>
    <t>Nyssens</t>
  </si>
  <si>
    <t>A 2.5-2.6 dB Noise Figure LNA for 39 GHz band in 22 nm FD-SOI with Back-Gate Bias Tunability</t>
  </si>
  <si>
    <t>Fu</t>
  </si>
  <si>
    <t>A Millimeter-Wave Concurrent LNA in 22-nm CMOS SOI for 5G Applications</t>
  </si>
  <si>
    <t>Deng</t>
  </si>
  <si>
    <t>A 22.9-38.2-GHz Dual-Path Noise-Canceling LNA With 2.65-4.62-dB NF in 28-nm CMOS</t>
  </si>
  <si>
    <t>TCSII</t>
  </si>
  <si>
    <t>Shirmohammadi</t>
  </si>
  <si>
    <t>A Linear Wideband CMOS Balun-LNA With Balanced Loads</t>
  </si>
  <si>
    <t>A 22.9–38.2-GHz Dual-Path Noise-Canceling LNA With 2.65–4.62-dB NF in 28-nm CMOS</t>
  </si>
  <si>
    <t>Liu</t>
  </si>
  <si>
    <t>A 0.0078mm2 3.4mW Wideband Positive-feedback-Based Noise-Cancelling LNA in 28nm CMOS Exploiting Gm Boosting</t>
  </si>
  <si>
    <t>A 0.0078mm2 3.4mW Wideband Positive-Feedback-Based  Noise-Cancelling LNA in 28nm CMOS Exploiting Gm Boosting</t>
  </si>
  <si>
    <t>Issakov</t>
  </si>
  <si>
    <t>A 10 mW LNA with Temperature Compensation for 24 GHz Radar Applications in SiGe BiCMOS</t>
  </si>
  <si>
    <t>A Millimeter-Wave LNA in 45nm CMOS SOI with Over 23dB Peak Gain and Sub-3dB NF for Different 5G Operating Bands and Improved Dynamic Range</t>
  </si>
  <si>
    <t>Chang</t>
  </si>
  <si>
    <t>A 13.7-mW 21–29-GHz CMOS LNA With 21.6-dB Gain and 2.74-dB NF for 28-GHz 5G Systems</t>
  </si>
  <si>
    <t>Kooshkaki</t>
  </si>
  <si>
    <t>A 36 μW 2.8–3.4 dB Noise Figure Impedance Boosted and Noise Attenuated LNA for NB-IoT</t>
  </si>
  <si>
    <t>Zolkov</t>
  </si>
  <si>
    <t>An Integrated Reconfigurable SAW-Less Quadrature Balanced N-Path Transceiver for Frequency-Division and Half Duplex Wireless</t>
  </si>
  <si>
    <t>A 24–30-GHz TRX Front-End With High Linearity and Load-Variation Insensitivity for mm-Wave 5G in 0.13-μm SiGe BiCMOS</t>
  </si>
  <si>
    <t>A 28-/39-GHz Dual-Band CMOS LNA With Shunt-Series Transformer Feedback</t>
  </si>
  <si>
    <t>Lee</t>
  </si>
  <si>
    <t>A 21–41-GHz Common-Gate LNA With TLT Matching Networks in 28-nm FDSOI CMOS</t>
  </si>
  <si>
    <t>WMCL</t>
  </si>
  <si>
    <t>ICMMT</t>
  </si>
  <si>
    <t>A 1.5-mA 2.5-GHz LNA With Reusing On-Chip Matching Network in 55nm CMOS Technology</t>
  </si>
  <si>
    <t>Anjos</t>
  </si>
  <si>
    <t>A Compact 26.5–29.5-GHz LNA-Phase-Shifter Combo With 360° Continuous Phase Tuning Based on All-Pass Networks for Millimeter-Wave 5G</t>
  </si>
  <si>
    <t>TCS</t>
  </si>
  <si>
    <t>A 22-to-47 GHz 2-Stage LNA With 22.2 dB Peak Gain by Using Coupled L-Type Interstage Matching Inductors</t>
  </si>
  <si>
    <t>Gao</t>
  </si>
  <si>
    <t>A 24-43 GHz LNA with 3.1-3.7 dB Noise Figure and Embedded 3-Pole Elliptic High-Pass Response for 5G Applications in 22 nm FDSOI</t>
  </si>
  <si>
    <t>APCCAS</t>
  </si>
  <si>
    <t>Mao</t>
  </si>
  <si>
    <t>A 0.5 to 2GHz Blocker-Tolerant Receiver Achieving 29dBm OOB-IIP3 and 3.2 to 6dB NF Using Bottom-Plate Switched-Capacitor Technique</t>
  </si>
  <si>
    <t>A 32dBm OOB-IIP3 BW-Extended 5G-NR Receiver  with 4th-Order Gain-Boosted N-path LNA</t>
  </si>
  <si>
    <t>Kim</t>
  </si>
  <si>
    <t>A Reconfigurable Balun-LNA and Tunable Filter With Frequency-Optimized Harmonic Rejection for Sub-GHz and 2.4 GHz IoT Receivers</t>
  </si>
  <si>
    <t>Tang</t>
  </si>
  <si>
    <t>Design and Analysis of a 28 GHz T/R Front-End Module in 22-nm FD-SOI CMOS Technology</t>
  </si>
  <si>
    <t>Ferschischi</t>
  </si>
  <si>
    <t>A Broadband 60-GHz Low Noise Amplifier with 3.2 dB Noise Figure and 24 dB Gain</t>
  </si>
  <si>
    <t>ESSCIRC</t>
  </si>
  <si>
    <t>Medra</t>
  </si>
  <si>
    <t>A 79GHz Variable Gain Low-Noise Amplifier and Power Amplifier in 28nm CMOS Operating up to 125℃</t>
  </si>
  <si>
    <t>A3.2 mW2.2–13.2 GHz CMOSDifferential Common-Gate LNA for Ultra-Wideband Receivers</t>
  </si>
  <si>
    <t>TMMT</t>
  </si>
  <si>
    <t>Cheng</t>
  </si>
  <si>
    <t>A 7.2–27.3 GHz CMOS LNA With 3.51 ±0.21 dB Noise Figure Using Multistage Noise Matching Technique</t>
  </si>
  <si>
    <t>A 20-GHz 1.9-mW LNA Using gm-Boost and Current-Reuse Techniques in 65-nm CMOS for Satellite Communications</t>
  </si>
  <si>
    <t>Wong</t>
  </si>
  <si>
    <t>A 4Rx, 4Tx Ka-band transceiver in 40nm bulk CMOS technology for satellite terminal applications</t>
  </si>
  <si>
    <t>Receiver Frontend</t>
  </si>
  <si>
    <t>Elkholy</t>
  </si>
  <si>
    <t>A wideband variable gain LNA with high OIP3 for 5G using 40-nm bulk CMOS</t>
  </si>
  <si>
    <t>Sutbas</t>
  </si>
  <si>
    <t>A V-Band Low-Power Compact LNA in 130-nm SiGe BiCMOS Technology</t>
  </si>
  <si>
    <t>Shao</t>
  </si>
  <si>
    <t>A 1.7–3.6 GHz 20 MHz-Bandwidth Channel-Selection N-Path Passive-LNA Using a Switched-Capacitor-Transformer Network Achieving 23.5 dBm OB-IIP3 and 3.4–4.8 dB NF</t>
  </si>
  <si>
    <t>Ershadi</t>
  </si>
  <si>
    <t>A 22.2-43 GHz Gate-Drain Mutually Induced Feedback Low Noise Amplifier in 28-nm CMOS</t>
  </si>
  <si>
    <t>RFIIC</t>
  </si>
  <si>
    <t>A −28.5-dB EVM 64-QAM 45-GHz Transceiver for IEEE 802.11aj</t>
  </si>
  <si>
    <t>Shahramian</t>
  </si>
  <si>
    <t>An All-Silicon E-Band Backhaul-on-Glass Frequency Division Duplex Module with &gt;24dBm PSAT &amp; 8dB NF</t>
  </si>
  <si>
    <t>CICC</t>
  </si>
  <si>
    <t>A 3.6dB NF, 23-39GHz Reflectionless RX with Absorptive Amplifier and Dual-Path Noise Cancelling LNA Supporting 64-QAM/256-QAM/1024-QAM for 5G NR</t>
  </si>
  <si>
    <t>A Reflectionless Receiver With Absorptive IF Amplifier and Dual-Path Noise-Canceling LNA</t>
  </si>
  <si>
    <t>IEEE ACCESS</t>
  </si>
  <si>
    <t>Jeong</t>
  </si>
  <si>
    <t>Calibration-Free Blocker Rejection Broadband CMOS Low Noise Amplifier for Advanced Cellular Applications</t>
  </si>
  <si>
    <t>A0.5-4GHz Full-Duplex Receiver with Multi-Domain Self-Interference Cancellation Using Capacitor Stacking Based Second-Order Delay Cells in RF Canceller</t>
  </si>
  <si>
    <t>Garg</t>
  </si>
  <si>
    <t>A 28-GHz Beam-Space MIMO RX With Spatial Filtering and Frequency-Division Multiplexing-Based Single-Wire IF Interface</t>
  </si>
  <si>
    <t>ICCS</t>
  </si>
  <si>
    <t>A 2~10 GHz Ultra-Wideband LNA in 0.13 μm SiGe BiCMOS Technology</t>
  </si>
  <si>
    <t>Shaheen</t>
  </si>
  <si>
    <t>Millimeter-wave Frequency Reconfigurable Low Noise Amplifiers for 5G</t>
  </si>
  <si>
    <t>A 3.8-dB NF, 23-40GHz Phased-Array Receiver with 14-Bit Phase &amp; Gain Manager and Calibration-Free Dual-Mode  28-52dB Image Rejection Ratio for 5G NR</t>
  </si>
  <si>
    <t>A 23–40-GHz Phased-Array Receiver Using 14-Bit Phase-Gain Manager and Wideband Noise-Canceling LNA</t>
  </si>
  <si>
    <t>Liang</t>
  </si>
  <si>
    <t xml:space="preserve">A 0.6-V VDD, 3.8-dB Minimum Noise Figure, 19.5-62.5-GHz Low Noise Amplifier in 28-nm Bulk CMOS </t>
  </si>
  <si>
    <t xml:space="preserve">CMOS </t>
  </si>
  <si>
    <t>Bae</t>
  </si>
  <si>
    <t>Dual-Band CMOS Low-Noise Amplifier Employing Transformer-Based Band-Switchable Load for 5G NR FR2 Applications</t>
  </si>
  <si>
    <t>Su</t>
  </si>
  <si>
    <t>A 24-GHz Fully Integrated CMOS Transceiver for FMCW Radar Applications</t>
  </si>
  <si>
    <t>IWS</t>
  </si>
  <si>
    <t>A 22-34 GHz Wide-Band Low Noise Amplifier with 22 dB Gain and 4 dB NF</t>
  </si>
  <si>
    <t>An Energy-Efficient 10-Gb/s CMOS Millimeter-Wave Transceiver With Direct-Modulation Digital Transmitter and I/Q Phase-Coupled Frequency Synthesizer</t>
  </si>
  <si>
    <t>MWSYM</t>
  </si>
  <si>
    <t>Ulusoy</t>
  </si>
  <si>
    <t>A 110 GHz LNA with 20 dB Gain and 4 dB Noise Figure in an 0.13 μm SiGe BiCMOS Technology</t>
  </si>
  <si>
    <t>A 110 GHz LNA with 20dB gain and 4dB noise figure in an 0.13μm SiGe BiCMOS technology</t>
  </si>
  <si>
    <t>MWSCAS</t>
  </si>
  <si>
    <t>Wei</t>
  </si>
  <si>
    <t>A 140 GHz, 4 dB Noise-Figure Low-Noise Amplifier Design with the Compensation of Parasitic Capacitance CGS</t>
  </si>
  <si>
    <t>A K-Band Variable Gain Low-Noise Amplifier with Low Phase Variation in 65-nm CMOS</t>
  </si>
  <si>
    <t xml:space="preserve">A K-Band Variable Gain Low-Noise Amplifier with Low Phase Variation in 65-nm CMOS </t>
  </si>
  <si>
    <t>Pang</t>
  </si>
  <si>
    <t>A 28-GHz CMOS Phased-Array Transceiver Based on LO Phase-Shifting Architecture With Gain Invariant Phase Tuning for 5G New Radio</t>
  </si>
  <si>
    <t>A K a-Band SATCOM Transceiver in 65-nm CMOS With High-Linearity TX and Dual-Channel Wide-Dynamic-Range RX for Terrestrial Terminal</t>
  </si>
  <si>
    <t>ISCAS</t>
  </si>
  <si>
    <t>A 28-GHz Massive MIMO Receiver Deploying One-Bit Direct Detection with Wireless Synchronization</t>
  </si>
  <si>
    <t>A 28-GHz CMOS Phased-Array Beamformer Utilizing Neutralized Bi-Directional Technique Supporting Dual-Polarized MIMO for 5G NR</t>
  </si>
  <si>
    <t>2x2 Array</t>
  </si>
  <si>
    <t>A 30–50-GHz Ultralow-Power Low-Noise Amplifier With Second-Stage Current-Reuse for Radio Astronomical Receivers in 90-nm CMOS Process</t>
  </si>
  <si>
    <t>Ustundag</t>
  </si>
  <si>
    <t xml:space="preserve">Low-Noise Amplifiers for W-band and D-band Passive Imaging Systems in SiGe BiCMOS Technology </t>
  </si>
  <si>
    <t>TCASII</t>
  </si>
  <si>
    <t>Front-End Blocks of a W-Band Dicke Radiometer in SiGe BiCMOS Technology</t>
  </si>
  <si>
    <t>Lei</t>
  </si>
  <si>
    <t>A 5–6-GHz CMOS Beamforming Transceiver Front-End for Fiber-to-the-Room All-Optical Wi-Fi Solution</t>
  </si>
  <si>
    <t>A Mm-Wave Wideband MIMO RX With Instinctual Array-Based Blocker/Signal Management for Ultralow-Latency Communication</t>
  </si>
  <si>
    <t>Zhu</t>
  </si>
  <si>
    <t>A 24-28 GHz Power and Area Efficient 4-Element Phased-Array Transceiver Front-End with 21.1%/16.6%Transmitter Peak/OP1dB PAE Supporting 2.4 Gb/s in 256-QAM for 5-G Communications</t>
  </si>
  <si>
    <t>Chen</t>
  </si>
  <si>
    <t xml:space="preserve">A Ka-band High Gain Wideband Low Noise  Amplifier in 0.18-μm SiGe BiCMOS </t>
  </si>
  <si>
    <t>Morath</t>
  </si>
  <si>
    <t>A 3.6 mW 60 GHz Low-Noise Amplifier With 0.6 ns Settling Time for Duty-Cycled Receivers</t>
  </si>
  <si>
    <t>ICTA</t>
  </si>
  <si>
    <t>Ke</t>
  </si>
  <si>
    <t>A Compact 60 GHz LNA with 22.7-dB Gain and 4.4-dB NF in 40nm CMOS</t>
  </si>
  <si>
    <t>Shin</t>
  </si>
  <si>
    <t>A Blocker-Tolerant Receiver Front End Employing Dual-Band N-Path Balun-LNA for 5G New Radio Cellular Applications</t>
  </si>
  <si>
    <t>Frounchi</t>
  </si>
  <si>
    <t>Millimeter-Wave SiGe Radiometer Front End With Transformer-Based Dicke Switch and On-Chip Calibration Noise Source</t>
  </si>
  <si>
    <t>A High Linearity W-Band LNA With 21-dB Gain and 5.5-dB NF in 0.13 μm SiGe BiCMOS</t>
  </si>
  <si>
    <t>A SiGe D-Band Low-Noise Amplifier Utilizing Gain-Boosting Technique</t>
  </si>
  <si>
    <t>SG13G2</t>
  </si>
  <si>
    <t>A Tri (K/Ka/V)-Band Monolithic CMOS Low Noise Amplifier with Shared Signal Path and Variable Gains</t>
  </si>
  <si>
    <t>Qiu</t>
  </si>
  <si>
    <t>Ultralow Power E-Band Low-Noise Amplifier With Three-Stacked Current-Sharing Amplification Stages in 28-nm CMOS</t>
  </si>
  <si>
    <t>A Low Power, Wideband Low-Noise Amplifier with Current-Reused  Techniques in 0.18-μm CMOS for 5G Wireless Systems</t>
  </si>
  <si>
    <t>Han</t>
  </si>
  <si>
    <t>A 4.8dB NF, 70-to-86GHz Deep-Noise-Canceling LNA Using  Asymmetric Compensation Transformer and 4-to-1  Hybrid-Phase Combiner in 40nm CMOS</t>
  </si>
  <si>
    <t>Design of E- and W-Band Low-Noise Amplifiers in 22-nm CMOS FD-SOI</t>
  </si>
  <si>
    <t>A CMOS Low-Power Variable-Gain LNA Based on Triple Cascoded Common-Source Amplifiers and Forward-Body-Bias Technology</t>
  </si>
  <si>
    <t>Chiu</t>
  </si>
  <si>
    <t>A Ka-Band Transformer-Based Switchless Bidirectional PA-LNA in 90-nm CMOS Process</t>
  </si>
  <si>
    <t>Yun</t>
  </si>
  <si>
    <t>A D-Band High-Gain and Low-Power LNA in 65-nm CMOS by Adopting Simultaneous Noiseand Input-Matched Gmax-Core</t>
  </si>
  <si>
    <t>A K/Ka/V Triband Single-Signal-Path Receiver With Variable-Gain Low-Noise Amplifier and Constant-Gain Phase Shifter in 28-nm CMOS</t>
  </si>
  <si>
    <t>Kazan</t>
  </si>
  <si>
    <t>A 10–110 GHz LNA with 19-25.5 dB Gain and 4.8-5.3 dB NF for Ultra-Wideband Applications in 90nm SiGe HBT Technology</t>
  </si>
  <si>
    <t>A 29-to-36GHz 4TX/4RX Dual-Stream Phased-Array Joint Radar-Communication CMOS Transceiver Supporting Centimeter-Level 2D Imaging and 64-QAM OTA Wireless Link</t>
  </si>
  <si>
    <t>A Multi-Standard 15-57 GHz 4-Channel Receive Beamformer with 4.8 dB Midband NF for 5G Applications</t>
  </si>
  <si>
    <t>An E-Band High-Performance Variable Gain Low Noise Amplifier for Wireless Communications in 90-nm CMOS Process</t>
  </si>
  <si>
    <t>Multi-Feed Antenna and Electronics Co-Design: An E-Band Antenna-LNA Front End With On-Antenna Noise-Canceling and Gm-Boosting</t>
  </si>
  <si>
    <t>Luo</t>
  </si>
  <si>
    <t>A SiGe BiCMOS W-Band Low Noise Amplifier with Active Bias Control and Internal Stabilization Technique</t>
  </si>
  <si>
    <t>A 28 GHz and 38 GHz High-Gain Dual-Band LNA for 5G Wireless Systems in 22 nm FD-SOI CMOS</t>
  </si>
  <si>
    <t>An Ultra-Compact 84.9-107GHz LNA with 4.9dB NF by Utilizing Coupled-line-based Gm-Boosting and NoiseCanceling Techniques in 65-nm CMOS Technology</t>
  </si>
  <si>
    <t>A CMOS Ka-Band SATCOM Transceiver with ACI-Cancellation Enhanced Dual-Channel Low-NF Wide-Dynamic-Range RX and High-Linearity TX</t>
  </si>
  <si>
    <t>Hietanen</t>
  </si>
  <si>
    <t>Ka-Band TDD Front-End with Gate Shunt Switched Cascode LNA and Three-Stack PA on 22nm FDSOI CMOS Technology</t>
  </si>
  <si>
    <t>A 26–31 GHz Linearized Wideband CMOS LNA Using Post-Distortion Technique</t>
  </si>
  <si>
    <t>A 39-GHz CMOS Bidirectional Doherty Phased_x0002_Array Beamformer Using Shared-LUT DPD With Inter-Element Mismatch Compensation Technique for 5G Base Station</t>
  </si>
  <si>
    <t>Venkatesh</t>
  </si>
  <si>
    <t>Active Tunable Millimeter-wave Reflective Surface across 57-64 GHz for Blockage Mitigation and Physical Layer Security</t>
  </si>
  <si>
    <t>Karaca</t>
  </si>
  <si>
    <t>A 75.5-to-120.5-GHz, High-gain CMOS Low-Noise Amplifier</t>
  </si>
  <si>
    <t>SSCL</t>
  </si>
  <si>
    <t>Karakuzulu</t>
  </si>
  <si>
    <t>Full D-Band Transmit–Receive Module for Phased Array Systems in 130-nm SiGe BiCMOS</t>
  </si>
  <si>
    <t>Jang</t>
  </si>
  <si>
    <t>120-GHz Wideband I/Q Receiver Based on Baseband Equalizing Technique</t>
  </si>
  <si>
    <t>A 64-84 GHz CMOS LNA with Excellent Gain Flatness for Wideband mmW Applications</t>
  </si>
  <si>
    <t>A 24-30GHz 4-Element Phased Array Transceiver with Low Insertion Loss Compact T/R Switch and Bidirectional Phase Shifter in 65 nm CMOS Technology</t>
  </si>
  <si>
    <t>Lv</t>
  </si>
  <si>
    <t>A 24-27GHz Phased Array Transceiver with 6bit Phase Shifter and 31.5dB Gain Control for 5G Communication in 65nm CMOS</t>
  </si>
  <si>
    <t>Park</t>
  </si>
  <si>
    <t>A 26-to-39GHz Broadband Ultra-Compact High-Linearity Switchless Hybrid N/PMOS Bi-Directional PA/LNA Front-End for Multi-Band 5G Large-Scaled MIMO System</t>
  </si>
  <si>
    <t>A 0.6-V VDD W-Band Neutralized Differential Low Noise Amplifier in 28-nm Bulk CMOS</t>
  </si>
  <si>
    <t>Simsek</t>
  </si>
  <si>
    <t>A 140 GHz MIMO Transceiver in 45 nm SOI CMOS</t>
  </si>
  <si>
    <t>VLSI</t>
  </si>
  <si>
    <t>A 28-GHz CMOS Phased-Array Beamformer Supporting Dual-Polarized MIMO with Cross-Polarization Leakage Cancellation</t>
  </si>
  <si>
    <t>Bidirectional</t>
  </si>
  <si>
    <t>A Ka-Band Quadrature-Hybrid LNA-PS with Gm- Boosting Technique in 40-nm CMOS</t>
  </si>
  <si>
    <t>A 50–67-GHz Ultralow-Power LNA Using Double-Transformer-Coupling Technique and Self-Resonant Matching in 90-nm CMOS</t>
  </si>
  <si>
    <t>A 50-67-GHz Ultralow-Power LNA Using Double-Transformer-Coupling Technique and Self-Resonant Matching in 90-nm CMOS</t>
  </si>
  <si>
    <t>Naskas</t>
  </si>
  <si>
    <t>Wideband mmWave Transceiver IC for 5G Radios</t>
  </si>
  <si>
    <t>Spasaro</t>
  </si>
  <si>
    <t xml:space="preserve">Sub-mW 30GHz Variable-Gain LNA in 22nm FDSOI CMOS for LowPower Tapered mm-Wave 5G/6G Phased-Array Receivers </t>
  </si>
  <si>
    <t>A 32.2-38.2 GHz Broadband 4-Channel TRx Beamformer with Embedded 3-Winding Transformer Based PA/LNA FE and High Resolution Phase/Amplitude Control</t>
  </si>
  <si>
    <t>Londhe</t>
  </si>
  <si>
    <t>34-42GHz CMOS Transceiver Frontend for Versatile Arrays</t>
  </si>
  <si>
    <t>Ravallec</t>
  </si>
  <si>
    <t>A Compact 28-nm FD-SOI CMOS 76-81 GHz Automotive Band Receiver Path with Accurate 0.2° Phase Control Resolution</t>
  </si>
  <si>
    <t>Dual Q/V-Band SiGe BiCMOS Low Noise Amplifiers Using Q-Enhanced Metamaterial Transmission Lines</t>
  </si>
  <si>
    <t>A 76.5–92.6 GHz CMOS LNA Using Two-Port k Q-Product Theory for Transformer Design</t>
  </si>
  <si>
    <t>A V-band Double-Transformer-Coupling and Current Steering VGLNA in 90-nm CMOS</t>
  </si>
  <si>
    <t>Hetterle</t>
  </si>
  <si>
    <t>Design of a Low Voltage D-band LNA in 22 nm FDSOI</t>
  </si>
  <si>
    <t>A 79 GHz reconfigurable highly linear Low-Noise Amplifier for Civil-Automotive Short-Range-Radars in 22-nm FD-SOI CMOS</t>
  </si>
  <si>
    <t>CMOS SOi</t>
  </si>
  <si>
    <t>Jin</t>
  </si>
  <si>
    <t>An FDD Auxiliary Receiver with a Highly Linear Low Noise Amplifier</t>
  </si>
  <si>
    <t>De-Ren</t>
  </si>
  <si>
    <t>Bi</t>
  </si>
  <si>
    <t>A 19.2 mW, &gt; 45 dB Gain and High-Selectivity 94 GHz LNA in 0.13 SiGe BiCMOS</t>
  </si>
  <si>
    <t>Maiwald</t>
  </si>
  <si>
    <t>A Full D-Band Low Noise Amplifier in 130 nm SiGe BiCMOS using Zero-Ohm Transmission Lines</t>
  </si>
  <si>
    <t>EuMIC</t>
  </si>
  <si>
    <t>A 266μW Bluetooth Low-Energy (BLE) Receiver Featuring an  N-Path Passive Balun-LNA and a Pipeline Down-Mixing BB-Extraction Scheme Achieving 77dB SFDR and -3dBm OOB-B-1dB</t>
  </si>
  <si>
    <t>Yishay</t>
  </si>
  <si>
    <t>A 95-135 GHz Low Power Dicke Radiometer in SiGe BiCMOS Technology</t>
  </si>
  <si>
    <t>Mehta</t>
  </si>
  <si>
    <t>A 140–220-GHz Low-Noise Amplifier With 6-dB Minimum Noise Figure and 80-GHz Bandwidth in 130-nm SiGe BiCMOS</t>
  </si>
  <si>
    <t>A Compact 0.2-1.6 GHz 20 MHz-Bandwidth Passive-LNA Exploiting An N-Path 1:3 Transformer</t>
  </si>
  <si>
    <t>A 4TX/4RX Pulsed Chirping Phased-Array Radar Transceiver in 65-nm CMOS for X-Band Synthetic Aperture Radar Application</t>
  </si>
  <si>
    <t>Yeh</t>
  </si>
  <si>
    <t>A W-Band 6.8 mW Low-Noise Amplifier in 90 nm CMOS Technology Using Noise Measure</t>
  </si>
  <si>
    <t>Key components of a D-band Dicke-radiometer in 90 nm SiGe BiCMOS technology</t>
  </si>
  <si>
    <t>Song</t>
  </si>
  <si>
    <t xml:space="preserve">A 94GHz FMCW Radar Transceiver with  17dBm Output Power and 6.25dB NF in 65nm CMOS </t>
  </si>
  <si>
    <t>Pan</t>
  </si>
  <si>
    <t>A 60–90-GHz CMOS Double-Neutralized LNA Technology With 6.3-dB NF and −10 dBm P−1 dB</t>
  </si>
  <si>
    <t>Vigilante</t>
  </si>
  <si>
    <t>A 68.1-to-96.4GHz Variable-Gain Low-Noise Amplifier in 28nm CMOS</t>
  </si>
  <si>
    <t>A 134-149 GHz IF Beamforming Phased-Array Receiver Channel with 6.4-7.5 dB NF Using CMOS 45nm RFSOI</t>
  </si>
  <si>
    <t>An Eight-Element 140-GHz Wafer-Scale IF Beamforming Phased-Array Receiver With 64-QAM Operation in CMOS RFSOI</t>
  </si>
  <si>
    <t>Parveg</t>
  </si>
  <si>
    <t>Design of a D-Band CMOS Amplifier Utilizing Coupled Slow-Wave Coplanar Waveguides</t>
  </si>
  <si>
    <t>Tomkins</t>
  </si>
  <si>
    <t>A Passive W-Band Imaging Receiver in 65-nm Bulk CMOS</t>
  </si>
  <si>
    <t>Arai</t>
  </si>
  <si>
    <t>A 77-GHz 8RX3TX Transceiver for 250-m Long-Range Automotive Radar in 40-nm CMOS Technology</t>
  </si>
  <si>
    <t>Lu</t>
  </si>
  <si>
    <t>A 16-Element Fully Integrated 28-GHz Digital RX Beamforming Receiver</t>
  </si>
  <si>
    <t>16 Elements Array, Antenna to Digital</t>
  </si>
  <si>
    <t>A 39-GHz 64-Element Phased-Array Transceiver With Built-In Phase and Amplitude Calibrations for Large-Array 5G NR in 65-nm CMOS</t>
  </si>
  <si>
    <t>A W-band CMOS Receiver Chipset for Millimeter-Wave Radiometer Systems</t>
  </si>
  <si>
    <t>Hamza</t>
  </si>
  <si>
    <t>A Full-Duplex Rake Receiver Using RF Code-Domain Signal Processing for Multipath Environments</t>
  </si>
  <si>
    <t>Feng</t>
  </si>
  <si>
    <t>An 88.5–110 GHz CMOS Low-Noise Amplifier for Millimeter-Wave Imaging Applications</t>
  </si>
  <si>
    <t>Ryynänen</t>
  </si>
  <si>
    <t>A Compact Low-Power 140-GHz Low-Noise Amplifier with 19-dB Gain and 7-dB NF</t>
  </si>
  <si>
    <t>Moradinia</t>
  </si>
  <si>
    <t>A SiGe HBT D-Band LNA Utilizing Asymmetric Broadside Coupled Lines</t>
  </si>
  <si>
    <t>Qian</t>
  </si>
  <si>
    <t>Millimeter-Wave CMOS Low-Noise Amplifier With High Gain and Compact Footprint</t>
  </si>
  <si>
    <t>28-GHz Bidirectional RF CMOS Amplifier Employing Body-Effect Control</t>
  </si>
  <si>
    <t>Sandstrom</t>
  </si>
  <si>
    <t>W-band CMOS amplifiers achieving +10dBm saturated output oower and 7.5dB NF</t>
  </si>
  <si>
    <t>Artz</t>
  </si>
  <si>
    <t>AFully-Differential 146.6-157.4 GHz LNA Utilizing Back Gate Control to Adjust Gain in 22 nm FDSOI</t>
  </si>
  <si>
    <t>A 24–44 GHz Broadband Transmit–Receive Front End in 0.13-μm SiGe BiCMOS for Multistandard 5G Applications</t>
  </si>
  <si>
    <t>A Flip-Chip-Assembled W-Band Receiver in 90-nm CMOS and IPD Technologies</t>
  </si>
  <si>
    <t>80-GHz Tuned Amplifier in Bulk CMOS</t>
  </si>
  <si>
    <t>May</t>
  </si>
  <si>
    <t>Design and Characterization of -Band SiGe RFICs for Passive Millimeter-Wave Imaging</t>
  </si>
  <si>
    <t>Heller</t>
  </si>
  <si>
    <t>A 102–129-GHz 39-dB Gain 8.4-dB Noise Figure I/Q Receiver Frontend in 28-nm CMOS</t>
  </si>
  <si>
    <t>Haller</t>
  </si>
  <si>
    <t>DCIS</t>
  </si>
  <si>
    <t>Urian</t>
  </si>
  <si>
    <t>Design and Layout Considerations of a D-Band SiGe LNA for Radiometric Applications</t>
  </si>
  <si>
    <t>Farid</t>
  </si>
  <si>
    <t>A Broadband Direct Conversion Transmitter/Receiver at D-band Using CMOS 22nm FDSOI</t>
  </si>
  <si>
    <t>Kucharski</t>
  </si>
  <si>
    <t>Monostatic and Bistatic G-Band BiCMOS Radar Transceivers With On-Chip Antennas and Tunable TX-to-RX Leakage Cancellation</t>
  </si>
  <si>
    <t>A 2-Channel 136-156 GHz Dual Down-Conversion I/Q Receiver with 30 dB Gain and 9.5 dB NF Using CMOS 22nm FDSOI</t>
  </si>
  <si>
    <t>A 220-GHz Sliding-IF Quadrature Transmitter and Receiver Chipset for High Data Rate Communication in 0.13-μm SiGe BiCMOS</t>
  </si>
  <si>
    <t>A 140 GHz T/R Front-End Module in 22 nm FD-SOI CMOS</t>
  </si>
  <si>
    <t>JSSCC</t>
  </si>
  <si>
    <t>Design and Analysis of a 140-GHz T/R Front-End Module in 22-nm FD-SOI CMOS</t>
  </si>
  <si>
    <t>Hamani</t>
  </si>
  <si>
    <t>A 56.32 Gb/s 16-QAM D-band Wireless Link using RX-TX Systemsin-Package with Integrated Multi-LO Generators in 45nm RFSOI</t>
  </si>
  <si>
    <t>A 76–81-GHz Four-Channel Digitally Controlled CMOS Receiver for Automotive Radars</t>
  </si>
  <si>
    <t xml:space="preserve"> A Millimeter-Wave Mixer-First Receiver with Non-Uniform Time-Approximation Filter Achieving &gt;45dB Blocker Rejection</t>
  </si>
  <si>
    <t>SiRF</t>
  </si>
  <si>
    <t>Ciocoveanu</t>
  </si>
  <si>
    <t>Low-Power 60GHz Receiver with an Integrated Analog Baseband for FMCW Radar Applications in 28nm CMOS Technology</t>
  </si>
  <si>
    <t>Amendola</t>
  </si>
  <si>
    <t>Compact E-Band I/Q Receiver in SiGe BiCMOS for 5G Backhauling Applications</t>
  </si>
  <si>
    <t>Turkmen</t>
  </si>
  <si>
    <t>A 225-265 GHz I-Q Receiver in 130-nm SiGe BiCMOS for FMCW Radar Applications</t>
  </si>
  <si>
    <t>A 225–265 GHz I-Q Receiver in 130-nm SiGe BiCMOS for FMCW Radar Applications</t>
  </si>
  <si>
    <t>Hosseinzadeh</t>
  </si>
  <si>
    <t>A Distributed Low-Noise Amplifier for Broadband Linearization of a Silicon Photonic Mach–Zehnder Modulator</t>
  </si>
  <si>
    <t>110-140-GHz Wide-IF-Band 65-nm CMOS Receiver Design for Fusion Plasma Diagnostics</t>
  </si>
  <si>
    <t xml:space="preserve">A Flip-Chip 180-GHz Receiver in 40-nm CMOS </t>
  </si>
  <si>
    <t>Landsberg</t>
  </si>
  <si>
    <t>High Linearity 76-81 GHz LNA Using a 16 nm FinFET Technology for Phased Array Radar  Applications</t>
  </si>
  <si>
    <t>CMOS FinFET</t>
  </si>
  <si>
    <t>Pashaeifar</t>
  </si>
  <si>
    <t>A Millimeter-Wave Front-End for FD/FDD Transceivers Featuring an Embedded PA and an N-Path Filter Based Circulator Receiver</t>
  </si>
  <si>
    <t>A 7.3–9.5-GHz Cryogenic LNA Based on Passive Noise Cancellation for Qubit State Readout</t>
  </si>
  <si>
    <t>I</t>
  </si>
  <si>
    <t>Nguyen</t>
  </si>
  <si>
    <t>A 140-GHz Low-Noise Amplifier in 45-nm RFSOI Based on a Joint-Noise-and-Gain-Optimized Embedding Network</t>
  </si>
  <si>
    <t>RFSOI</t>
  </si>
  <si>
    <t xml:space="preserve">O </t>
  </si>
  <si>
    <t>N/A</t>
  </si>
  <si>
    <t>Afifi</t>
  </si>
  <si>
    <t>A Multi-Band 5.3–18 GHz LNA for FR3 Bands Using Hybrid Switching With Sub-2 dB NF in FDSOI</t>
  </si>
  <si>
    <t>7,35/10,65/14,75/11,45</t>
  </si>
  <si>
    <t>1,6/1,6/1,8/2,4</t>
  </si>
  <si>
    <t>23/22,3/17,9/16,3</t>
  </si>
  <si>
    <t>-22,2/-22,6/-18,1/-16</t>
  </si>
  <si>
    <t>-12,7/-12,3/-8,7/-7,3</t>
  </si>
  <si>
    <t>4,1/4,7/6,5/9,7</t>
  </si>
  <si>
    <t>Qi</t>
  </si>
  <si>
    <t>A 110–150 GHz Broadband TDD Front End in SiGe BiCMOS</t>
  </si>
  <si>
    <t>A D-Band CMOS Linearity-Enhanced Low-Noise Amplifier Using Multiple-Gated Transistors Technique</t>
  </si>
  <si>
    <t>140/140</t>
  </si>
  <si>
    <t>8,8/9,5</t>
  </si>
  <si>
    <t>16,5/14,2</t>
  </si>
  <si>
    <t>-18/-14</t>
  </si>
  <si>
    <t>-8,2/-3,2</t>
  </si>
  <si>
    <t>42/43</t>
  </si>
  <si>
    <t>NF available only at f&gt;=140GHz</t>
  </si>
  <si>
    <t>A 9.2–18-GHz Sub-3.5-dB NF CMOS Low Noise Amplifier Using Current-Reuse Stacked Inverter With Inductive Series Peaking</t>
  </si>
  <si>
    <t>A 200-GHz Modulable Transceiver With 35-dB Tx On–Off Isolation and 16-Gb/s Code Rate for MIMO Radar in 130-nm SiGe Process</t>
  </si>
  <si>
    <t>Receiver Frontend, TRx chip consumption</t>
  </si>
  <si>
    <t>Highly Linear Wideband Low-Noise Amplifiers for Sub-6 GHz Using Cascode and Diode-Connected Postdistortion Circuits</t>
  </si>
  <si>
    <t>0,85/0,85</t>
  </si>
  <si>
    <t>30,5/30,5</t>
  </si>
  <si>
    <t>13,1/13,1</t>
  </si>
  <si>
    <t>O</t>
  </si>
  <si>
    <t>1/5</t>
  </si>
  <si>
    <t>Zakir</t>
  </si>
  <si>
    <t>Self-Identifying Amplify-and-Forward Relay for Localization Assistance</t>
  </si>
  <si>
    <t>Low-Complexity DC-Offset-Cancellation Mechanism for 1-Mbps FM-UWB Receiver</t>
  </si>
  <si>
    <t>Rx consumption</t>
  </si>
  <si>
    <t>A Compact Wideband Simultaneous Noise and Input Matching Method Based on Three-Coil Transformer With Capacitor Assistance for LNA Design</t>
  </si>
  <si>
    <t>IIP3 simulated</t>
  </si>
  <si>
    <t>Yoon</t>
  </si>
  <si>
    <t>Wideband CMOS Low-Noise Amplifier Using RC Feedback and Inductor for Resonance</t>
  </si>
  <si>
    <t>RFCMOS</t>
  </si>
  <si>
    <t>Elgaard</t>
  </si>
  <si>
    <t>A Wideband Sub-6-GHz Transceiver Front End for 5G Base Stations in 22-nm FD-SOI CMOS</t>
  </si>
  <si>
    <t>Receiver Frontend, Gain and IIP3 simulated</t>
  </si>
  <si>
    <t>A D-Band Low-Noise Amplifier With Gm-Boosting Technique Based on Asymmetric Coupling</t>
  </si>
  <si>
    <t>A Frequency Reconfigurable Transceiver Front-End With Enhanced Out-of-Band-Rejection and High Phase Resolution for 5G mm-Wave Phased Arrays</t>
  </si>
  <si>
    <t>26/39</t>
  </si>
  <si>
    <t>6,5/8,1</t>
  </si>
  <si>
    <t>16/15</t>
  </si>
  <si>
    <t>-21,3/-21,5</t>
  </si>
  <si>
    <t>-14,5/-12</t>
  </si>
  <si>
    <t>3,5/4,5</t>
  </si>
  <si>
    <t>A 4 × 4 Fully Integrated RF Transceiver in 6 GHz Frequency Band With Single-Channel Bandwidth of 400 MHz and PHY Data-Rate of 8.8 Gbps</t>
  </si>
  <si>
    <t>A 59.2–83.3 GHz CMOS LNA With 18.1 dB Gain and 5.1 dB NF Using Gate-Drain Transformer</t>
  </si>
  <si>
    <t>Baek</t>
  </si>
  <si>
    <t>A Large-Scale, Low-Power, Compact 5G mm-Wave Phased-Array Transceiver in 45 nm RFSOI CMOS</t>
  </si>
  <si>
    <t>RFSOI CMOS</t>
  </si>
  <si>
    <t>Design and Analysis of a 22.6-to-73.9 GHz Low-Noise Amplifier for 5G NR FR2 and NR-U Multiband/Multistandard Communications</t>
  </si>
  <si>
    <t>SiGe</t>
  </si>
  <si>
    <t>IIP3 @ 39GHz</t>
  </si>
  <si>
    <t>Myeong</t>
  </si>
  <si>
    <t>A 27-GHz Full-Duplex Receiver With a Three-Port Dual-Polarized Antenna and High IIP3 Low-Noise Amplifier for Mobile Phased Array Systems</t>
  </si>
  <si>
    <t>Seok</t>
  </si>
  <si>
    <t>High-Sensitivity, Low-Power IR-UWB Radar Transceiver With Self-Interference Resistance for Child Presence Detection and Precision Positioning</t>
  </si>
  <si>
    <t>Chaubey</t>
  </si>
  <si>
    <t>A 43.4-dB Gain 7.6-mW 197.5% Bandwidth Double Noise-Canceling Cryogenic LNA Using Gain Peaking Technique for Multiple Spin Qubit Readout</t>
  </si>
  <si>
    <t>0,7/0,6</t>
  </si>
  <si>
    <t>0,37/1,89</t>
  </si>
  <si>
    <t>1,4/1,6</t>
  </si>
  <si>
    <t>0,5/2,2</t>
  </si>
  <si>
    <t>43,4/41,3</t>
  </si>
  <si>
    <t>-/-38</t>
  </si>
  <si>
    <t>-/-26</t>
  </si>
  <si>
    <t>3,18/2,83</t>
  </si>
  <si>
    <t>7,6/10,2</t>
  </si>
  <si>
    <t>T:4K/300K</t>
  </si>
  <si>
    <t>A Compact RF Module With Hybrid Stacked Transformer and Integrated Transceiver Switch in 65 nm CMOS Technology</t>
  </si>
  <si>
    <t>A 28/39 GHz Concurrent/Band-Switching LNA With Three-Winding Transformer and Common-Gate-Based Multiplexer Supporting Multistream and Multiband 5G FR2 Communication</t>
  </si>
  <si>
    <t>28/39/26/37</t>
  </si>
  <si>
    <t>4,97/4,9/3,6/3,8</t>
  </si>
  <si>
    <t>22,9/23/26,3/25,5</t>
  </si>
  <si>
    <t>-14,7/-12,4/-18,5/-16,4</t>
  </si>
  <si>
    <t>8/10,9/8,5/12,5</t>
  </si>
  <si>
    <t>38,4/38,4/19,2/19,2</t>
  </si>
  <si>
    <t>A 1–21-GHz, 1.95–3.1-dB NF Ultra-Wideband LNA With Gm-Assisted-Feedback Noise Suppression Achieving 140-Gb/s Data Rate in 40-nm CMOS</t>
  </si>
  <si>
    <t>Wu</t>
  </si>
  <si>
    <t>An Automated Circuit Topology Generation and Optimization Method for CMOS Low-Noise Amplifiers</t>
  </si>
  <si>
    <t>1,37/1,42/1,58/1,74/1,72/1,63/1,14/1,36</t>
  </si>
  <si>
    <t>19,89/19,33/19,85/22,36/33,17/34,69/20,25/19,99</t>
  </si>
  <si>
    <t>3,9/3,7/4/3,3/1,2/1,1/3,9/4</t>
  </si>
  <si>
    <t>5,7/9,1/7,6/3,9/5,7/7/8,9/10</t>
  </si>
  <si>
    <t>Tu</t>
  </si>
  <si>
    <t>A 70–89.8-GHz LNA With Transformer-Based T-Shape Matching and Pole-Tuning Techniques</t>
  </si>
  <si>
    <t>A 26.5–29.5 GHz Doherty PA-LNA Implementation With Synthesized Transformer-Based Matching Network</t>
  </si>
  <si>
    <t>Yan</t>
  </si>
  <si>
    <t>A 0.2-3 GHz Inductor-Less LNA Using Noise-Canceling and Dual-Resistor Feedback Technique</t>
  </si>
  <si>
    <t>An E-Band FMCW Radar Receiver With Arbitrary-Path Spillover Cancellation</t>
  </si>
  <si>
    <t>A 78–106-GHz Current-Reuse LNA With 4-dB Minimum NF and 12.5-mW Power Consumption Based on 130-nm SiGe Technology</t>
  </si>
  <si>
    <t>Pu</t>
  </si>
  <si>
    <t>A 0.2–3.2-GHz Active Balun-LNA With 1.4–2.18-dB NF Utilizing Asymmetric Current Distribution in 28-nm CMOS</t>
  </si>
  <si>
    <t>A CMOS Linear Low-Noise Amplifier Using Transformer-Based Second-Harmonic Trap</t>
  </si>
  <si>
    <t>Hwang</t>
  </si>
  <si>
    <t>Compact Bi-Directional PA-LNA Using Stacked Power Amplifier Enhancing Linearity and Stability</t>
  </si>
  <si>
    <t>A 6.5-GHz Power-Efficient Two-Stage Feedforward Self-Interference Cancellation Receiver</t>
  </si>
  <si>
    <t>A 640-Gb/s 4 × 4-MIMO D-Band CMOS Transceiver Chipset</t>
  </si>
  <si>
    <t>25/43</t>
  </si>
  <si>
    <t>550/700</t>
  </si>
  <si>
    <t>Design of Compact Bidirectional Amplifier Utilizing Transformers-Stacking Technique</t>
  </si>
  <si>
    <t>A Compact High-Gain D-Band LNA With Lossy Gain-Boosting Core Based on Slow-Wave Feedback</t>
  </si>
  <si>
    <t>A Broadband Gm-Boosted Active Feedback CMOS Low-Noise Amplifier for Low- and Mid-Band 5G Applications</t>
  </si>
  <si>
    <t>W-Band Broadband CMOS LNA Using Partially Coupled Transformer and Large Transistor</t>
  </si>
  <si>
    <t>A 220-GHz LNA With 9.7-dB Noise Figure and 24.6-dB Gain in 40-nm Bulk CMOS</t>
  </si>
  <si>
    <t>A 28/37-GHz Frequency-Reconfigurable Dual-Band 1-Channel Front-End IC for 5G Communication Radios</t>
  </si>
  <si>
    <t>28/37</t>
  </si>
  <si>
    <t>4,4/4,9</t>
  </si>
  <si>
    <t>16,4/19,1</t>
  </si>
  <si>
    <t>-23,8/-29,1</t>
  </si>
  <si>
    <t>62,7/53,9</t>
  </si>
  <si>
    <t>Yoo</t>
  </si>
  <si>
    <t>A 120 GHz gm-boosting Low-Noise Amplifier in 40-nm CMOS</t>
  </si>
  <si>
    <t>A Compact Low-Loss High-Reliability Antenna T/R Switch Embedded in Power Combiner for 60-GHz Fully Differential PA and LNA</t>
  </si>
  <si>
    <t>Urain</t>
  </si>
  <si>
    <t>Area-Efficient SiGe BiCMOS LNA With Wideband Frequency Tuning Capability Across D and G Bands</t>
  </si>
  <si>
    <t>150/155/165/175/190</t>
  </si>
  <si>
    <t>9,9*/9,8*/9,5/9,4*/13,6</t>
  </si>
  <si>
    <t>14,5/15/16,5/16,5/17</t>
  </si>
  <si>
    <t>-17,89/-/-21,61/-/-24,12</t>
  </si>
  <si>
    <t>7,5/18,5/30/16/16</t>
  </si>
  <si>
    <t>97,5/97,5/87,9/69/59,8</t>
  </si>
  <si>
    <t>IP1dB simulated, NF* simulated</t>
  </si>
  <si>
    <t>Zeng</t>
  </si>
  <si>
    <t>Parasitic-Aware Analysis and Design of a Wideband gm-Boost Low Noise Amplifier at K-Band</t>
  </si>
  <si>
    <t>A 2–6 GHz Reconfigurable High Dynamic Range Receiver With Wideband Variable Gain LNA</t>
  </si>
  <si>
    <t>Jo</t>
  </si>
  <si>
    <t>IIP2-Calibration-Free 5G NR Cellular Receiver Front-End With Mixer-Sharing Global N-Path Notch Filter Feedback Achieving +72 dBm IIP2</t>
  </si>
  <si>
    <t>1,805/1,93/2,11/2,62</t>
  </si>
  <si>
    <t>3,67/3,72/3,75/3,77</t>
  </si>
  <si>
    <t>44,4/44,5/44,7/44,3</t>
  </si>
  <si>
    <t>-11/-10/-13/-12</t>
  </si>
  <si>
    <t>-2,3/-2,75/-3,15/-3,85</t>
  </si>
  <si>
    <t>A 2.7-dB NF 55-dBm IIP2 Blocker-Tolerant Receiver Front End Employing Dual RF and BB N-Path Filters for 5G New Radio Cellular Applications</t>
  </si>
  <si>
    <t>3,36/3,2/2,95/2,7</t>
  </si>
  <si>
    <t>42/42,7/42,8/43</t>
  </si>
  <si>
    <t>-7,75/-8,25/-9,6/-9,9</t>
  </si>
  <si>
    <t>Oh</t>
  </si>
  <si>
    <t>A 54–64-GHz 4TXs-4RXs CMOS Transceiver With 10-GHz Bandwidth Single Chirp for FMCW Radar Applications</t>
  </si>
  <si>
    <t>A 2–18-GHz Reconfigurable Low-Noise Amplifier With 2.45–3.4-dB NF in 65-nm CMOS</t>
  </si>
  <si>
    <t>3/12</t>
  </si>
  <si>
    <t>2,8/2,45</t>
  </si>
  <si>
    <t>16,6/16</t>
  </si>
  <si>
    <t>-16/-14,5</t>
  </si>
  <si>
    <t>-6/-5,5</t>
  </si>
  <si>
    <t>8,1/13,5</t>
  </si>
  <si>
    <t>A 70–86-GHz Deep-Noise-Canceling LNA With Dual-Stage Noise Cancellation Using Asymmetric Compensation Transformer and 4-to-1 Hybrid-Phase Combiner</t>
  </si>
  <si>
    <t>A 0.1-to-4.3-GHz Variable-Gain Balun LNA With Dual-Path Noise-Canceling Technique</t>
  </si>
  <si>
    <t>Hassan</t>
  </si>
  <si>
    <t>An Eight-Channel 15–55 GHz Dual-Beam Receive Phased-Array Beamformer IC With 2.9–4.2 dB NF for Multiband 5G Operation</t>
  </si>
  <si>
    <t>2,9/4</t>
  </si>
  <si>
    <t>25/20</t>
  </si>
  <si>
    <t>-31/-28</t>
  </si>
  <si>
    <t>185/132</t>
  </si>
  <si>
    <t>System, Power per channel</t>
  </si>
  <si>
    <t>Das</t>
  </si>
  <si>
    <t>A 18.4 dB Gain 0.95 dB NF Ku-Band LNA Design using 130 nm Bulk CMOS Technology</t>
  </si>
  <si>
    <t xml:space="preserve">I </t>
  </si>
  <si>
    <t>Tian</t>
  </si>
  <si>
    <t>Design of a W-Band Low-Noise Amplifier with High Gain and Large Bandwidth in 130 nm SiGe BiCMOS Technology</t>
  </si>
  <si>
    <t>A 140 GHz Low-Noise Amplifier with 22-dB Gain and 8.2-dB Noise Figure in 65-nm CMOS</t>
  </si>
  <si>
    <t>A 260–316 GHz Gain-Boosted Low Noise Amplifier Achieving 17-dB Gain and 10.5-dB Noise Figure in 130nm SiGe Process</t>
  </si>
  <si>
    <t>Simulated NF</t>
  </si>
  <si>
    <t>A Compact D-Band Receiver with Low Power for Wireless Communication in 40 nm CMOS</t>
  </si>
  <si>
    <t>Receiver, P1dB @ 141GHz</t>
  </si>
  <si>
    <t>Kumar</t>
  </si>
  <si>
    <t>Innovative Approach: A 6-12 dB Noise Figure NB-IOT Based RF Receiver Front-end for Wideband Applications</t>
  </si>
  <si>
    <t>Simulated, Receiver frontend</t>
  </si>
  <si>
    <t>Design of V-Band Transmit-Receive Front-End in 28-nm Bulk CMOS</t>
  </si>
  <si>
    <t>Receiver Frontend, NF measured up to 50GHz</t>
  </si>
  <si>
    <t>George</t>
  </si>
  <si>
    <t>Analytical Synthesis of Absorptive Matching Network Applied to a Reflectionless LNA RFIC for Ku-Band AESA Receiver Using ST BiCMOS55X Technology</t>
  </si>
  <si>
    <t>BiCMOS</t>
  </si>
  <si>
    <t>A 1-8-GHz Direct-Conversion Receiver Front End in 45-nm CMOS SOI for 5G Wireless Applications</t>
  </si>
  <si>
    <t>-34,3/-14,5/-2,4</t>
  </si>
  <si>
    <t>Receiver Frontend, IIP3 @ 8GHz for gain=40/20/5 dB</t>
  </si>
  <si>
    <t>A 0.06-1.62 GHz 37.6-dB Gain Cryogenic LNA With Gm-Boosting and Noise Reduction for Large-Scale Quantum Computing Applications</t>
  </si>
  <si>
    <t>0,8/0,9</t>
  </si>
  <si>
    <t>3,6/1,38</t>
  </si>
  <si>
    <t>35,5/36,5</t>
  </si>
  <si>
    <t>-39,2/-</t>
  </si>
  <si>
    <t>-17,4/-</t>
  </si>
  <si>
    <t>1,36/1,56</t>
  </si>
  <si>
    <t>T:300K/12K, Linearity @ 0,3GHz</t>
  </si>
  <si>
    <t>A 3-to-78-GHz Distributed Low-Noise Amplifier Incorporating High-Gain Differential gm Cells and Balanced Active Balun in a 65-nm CMOS</t>
  </si>
  <si>
    <t>Bardeh</t>
  </si>
  <si>
    <t>A Wideband Millimeter-Wave CMOS Receiver Using a Reconfigurable Low-Noise Amplifier With a 3-Winding Transformer Load</t>
  </si>
  <si>
    <t>31/26,5/29</t>
  </si>
  <si>
    <t>2,9/3,1/2,9</t>
  </si>
  <si>
    <t>27/24/29</t>
  </si>
  <si>
    <t>2,9/3,4/2,9</t>
  </si>
  <si>
    <t>42/45,45/46,58</t>
  </si>
  <si>
    <t>1,5/1,8/0,8</t>
  </si>
  <si>
    <t>11/5/5</t>
  </si>
  <si>
    <t>An Inductive Loading Simultaneous Noise and Input Matching Technique With Current Reuse for Low-Power LNA</t>
  </si>
  <si>
    <t>A 1.5–2.7 GHz 3-dB NF 32-dB Notch-Depth Channel-Selection Balun-LNA Employing Dual Feedback and Feedforward N -Path Filter Loops for Advanced Cellular Application</t>
  </si>
  <si>
    <t>1,805/1,93/2,62</t>
  </si>
  <si>
    <t>3,2/3/3,4</t>
  </si>
  <si>
    <t>23,2/25,3/26,6</t>
  </si>
  <si>
    <t>-3,6/-5,7/-4,2</t>
  </si>
  <si>
    <t>0,03/0,03/0,03</t>
  </si>
  <si>
    <t>Cho</t>
  </si>
  <si>
    <t>A 120 GHz Hybrid Low Noise Amplifier in 40 nm CMOS</t>
  </si>
  <si>
    <t>Vardarli</t>
  </si>
  <si>
    <t>A 7.7-mW DC-to-62 GHz Ultra-Wideband Low-Noise Amplifier with ±2.1 ps Group Delay Variation and 3.3 dB NF in 0.13-μm SiGe:C BiCMOS</t>
  </si>
  <si>
    <t>Serra</t>
  </si>
  <si>
    <t>A Biasing Scheme for the Gain Compression Point Optimization of HBT Cascode D-Band LNAs</t>
  </si>
  <si>
    <t>&gt;25</t>
  </si>
  <si>
    <t>140-GHz Transmit and Receive Front-end Circuits with 10.8-dBm Psat and 5.9-dB NF in a 45-nm BiCMOS SOI Process</t>
  </si>
  <si>
    <t>BiCMOS SOI</t>
  </si>
  <si>
    <t>Dolt</t>
  </si>
  <si>
    <t>The Design of Wideband LNAs in 45nm SiGe BiCMOS</t>
  </si>
  <si>
    <t>27/20</t>
  </si>
  <si>
    <t>3,4/2,3</t>
  </si>
  <si>
    <t>13,1/19,9</t>
  </si>
  <si>
    <t>-1/-6</t>
  </si>
  <si>
    <t>38,8/21</t>
  </si>
  <si>
    <t>18/14,4</t>
  </si>
  <si>
    <t>Lasserre</t>
  </si>
  <si>
    <t>A 5.6 dB NF Two-Stage 110 - 125 GHz LNA Gain-Boosted by RC-over-Neutralization for Radar Applications in 28 nm CMOS</t>
  </si>
  <si>
    <t>IP1dB @ 115GHz</t>
  </si>
  <si>
    <t>An Over 100% Fractional Bandwidth Low Noise Amplifier with Gate-Drain Transformer-Feedback in 90-nm CMOS Process</t>
  </si>
  <si>
    <t>Snyder</t>
  </si>
  <si>
    <t>A 225 GHz 90-nm SiGe Coupled-Line Coupler Gain-Boosted Low Noise Amplifier Operating Above fmax/2</t>
  </si>
  <si>
    <t>217/213</t>
  </si>
  <si>
    <t>14,8/13,3</t>
  </si>
  <si>
    <t>225/220</t>
  </si>
  <si>
    <t>15,2/13,8</t>
  </si>
  <si>
    <t>11,7/5</t>
  </si>
  <si>
    <t>-16/-6</t>
  </si>
  <si>
    <t>14/24</t>
  </si>
  <si>
    <t>90,3/42,1</t>
  </si>
  <si>
    <t>NF and IP1dB simulated</t>
  </si>
  <si>
    <t>A Low Power Cascaded Eight-Channel D-Band Receiver using Single LO Mixer and On-Chip Feeder in 40-nm CMOS for Massive Array FMCW Radar</t>
  </si>
  <si>
    <t>Receiver frontend, NF simulated, Consumption per channel</t>
  </si>
  <si>
    <t>Jain</t>
  </si>
  <si>
    <t>A new 45nm RFSOI Technology Optimized for Low Power, High Performance mmWave Applications</t>
  </si>
  <si>
    <t>1,36/1,26</t>
  </si>
  <si>
    <t>11,93/12,81</t>
  </si>
  <si>
    <t>-12/-15</t>
  </si>
  <si>
    <t>0,55/-5,8</t>
  </si>
  <si>
    <t>6,1/5,5</t>
  </si>
  <si>
    <t>Guo</t>
  </si>
  <si>
    <t>A mm-Wave Two-Stage CMOS LNA Using Noise Cancelling and Post-Distortion Techniques</t>
  </si>
  <si>
    <t>Rack</t>
  </si>
  <si>
    <t>A Low-Power 42 to 67 GHz Variable-Gain LNA in 22FDX® on Standard- and High-Resistivity Substrates with 3.4 dB Noise Figure</t>
  </si>
  <si>
    <t>3,8/3,4</t>
  </si>
  <si>
    <t>19/20</t>
  </si>
  <si>
    <t>SiGe Transmitter and Receiver with Integrated Mixers and LO Chains for K/Ka Band Phased Array Systems</t>
  </si>
  <si>
    <t>Receiver Frontend, Power per channel</t>
  </si>
  <si>
    <t>Designing a Power and Speed Adaptive 60 GHz Receiver in 22 nm FD-SOI CMOS for Tactile Internet Applications</t>
  </si>
  <si>
    <t>Simulated, Consumption at max data rate</t>
  </si>
  <si>
    <t>A Cryogenic 2.9–8.6-GHz LNA With Bandwidth Extension Technique for Quantum Applications</t>
  </si>
  <si>
    <t>4/4</t>
  </si>
  <si>
    <t>2,24/0,6</t>
  </si>
  <si>
    <t>9,24/14,23</t>
  </si>
  <si>
    <t>-9/-</t>
  </si>
  <si>
    <t>-4/-</t>
  </si>
  <si>
    <t>4,9/5,7</t>
  </si>
  <si>
    <t>10,4/10,3</t>
  </si>
  <si>
    <t>T:300K/4K</t>
  </si>
  <si>
    <t>A G-Band SiGe BiCMOS LNA With an Area Efficient Built-In Temperature Compensation Circuit and Robust to TID Radiation</t>
  </si>
  <si>
    <t>IP1dB simulated</t>
  </si>
  <si>
    <t>Bhat</t>
  </si>
  <si>
    <t>A 7.6-mW IR-UWB Receiver Achieving −17-dBm Blocker Resilience With a Linear RF Front-End</t>
  </si>
  <si>
    <t>Receiver Frontend, IIP3 @ 10GHz</t>
  </si>
  <si>
    <t>A Tri-Band Dual-Concurrent Wi-Fi 802.11be Transceiver Achieving −46 dB TX/RX EVM Floor at 7.1 GHz for a 4 K-QAM 320 MHz Signal</t>
  </si>
  <si>
    <t>CMOS FinFet</t>
  </si>
  <si>
    <t>2,4/5/6</t>
  </si>
  <si>
    <t>5/4,3/4,5</t>
  </si>
  <si>
    <t>*</t>
  </si>
  <si>
    <t>24/90/112</t>
  </si>
  <si>
    <t>Receiver Frontend, OIP3 &gt; 31</t>
  </si>
  <si>
    <t>A 60 GHz Broadband LNA With Joined Variable Gain Control and Switching in 22 nm FD-SOI</t>
  </si>
  <si>
    <t>55/55</t>
  </si>
  <si>
    <t>3,3/3,5</t>
  </si>
  <si>
    <t>60/60</t>
  </si>
  <si>
    <t>3,6/4</t>
  </si>
  <si>
    <t>20,2/13,1</t>
  </si>
  <si>
    <t>-23,9/-14,3</t>
  </si>
  <si>
    <t>18,5/19,2</t>
  </si>
  <si>
    <t>8,1/5,5</t>
  </si>
  <si>
    <t>Guan</t>
  </si>
  <si>
    <t>A Fully Integrated QPSK/16-QAM D-Band CMOS Transceiver With Mixed-Signal Baseband Circuitry Realizing Digital Interfaces</t>
  </si>
  <si>
    <t>Receiver Frontend, IP1dB @ 141,9GHz</t>
  </si>
  <si>
    <t>Puyal</t>
  </si>
  <si>
    <t>Sub-10-GHz Cryo-CMOS LNAs Achieving Up to 0.07-dB Average NF Thanks to Back Biasing for Qubit Readout in 28-nm FD-SOI</t>
  </si>
  <si>
    <t>3,8/6/3/6,2/3/6/3/6</t>
  </si>
  <si>
    <t>2,2/0,41(0,38)/1,6/0,19(0,17)/1,2/0,13(0,07)/2,6/0,54(0,53)</t>
  </si>
  <si>
    <t>3,8/5/2,6/3,6/1,6/1,8/2,6/6,5</t>
  </si>
  <si>
    <t>30/29/33/31/33/34/31/29</t>
  </si>
  <si>
    <t>7,6/10,1/5,2/7,2/3,2/3,6/11,2/13</t>
  </si>
  <si>
    <t>17,8/23,2/21,9/31,4/26,8/40,1/15/20,7</t>
  </si>
  <si>
    <t>T:300K/4,2K(4Κ)</t>
  </si>
  <si>
    <t>A Power-Efficient, F-Band, 6.5-dB NF, Staggered-Tuned, Inverter-Based CMOS LNA for 6G Receivers</t>
  </si>
  <si>
    <t>Lepkowski</t>
  </si>
  <si>
    <t>A 6.8 - 9.4 GHz LNA Achieving 36.5 dB Peak Gain, Consuming 4.28 mW with an Adjustable Threshold Limiter for IR-UWB Applications</t>
  </si>
  <si>
    <t>Mayeda</t>
  </si>
  <si>
    <t>A K/Ka-Band Satellite Terminal Beamforming Front-End-Module Utilizing Dual-Band Self-Diplexing Antennas</t>
  </si>
  <si>
    <t>Compact KiKa-Band Frontend PA and LNA in 16nm FinFET for Next Generation Digitally Intensive Arrays</t>
  </si>
  <si>
    <t>Elazar</t>
  </si>
  <si>
    <t>A 5.6 dB Noise-Figure X-Band to W-Band CMOS Frequency-Extender Receiver Frontend</t>
  </si>
  <si>
    <t>A 240-GHz Wideband LNA with Dual −Peak−Gmax Cores and Customized High-Speed Transistors in 40-nm CMOS</t>
  </si>
  <si>
    <t>NF Simulation</t>
  </si>
  <si>
    <t>A Gm-Boosting Inductorless Noise-Canceling Low Noise Amplifier in 40-nm CMOS for Quantum Applications</t>
  </si>
  <si>
    <t>0,51/0,64</t>
  </si>
  <si>
    <t>2,36/0,41</t>
  </si>
  <si>
    <t>40,8/42,7</t>
  </si>
  <si>
    <t>-31/-</t>
  </si>
  <si>
    <t>-20/-</t>
  </si>
  <si>
    <t>1,51/2,09</t>
  </si>
  <si>
    <t>10,7/5,3</t>
  </si>
  <si>
    <t>A 5.2-GHz Area-Efficient RF Front-End with 2.79x PAE Enhancement at 7.7-dB Power Back-Off</t>
  </si>
  <si>
    <t>A Ku-Band +2 dBm IIP3 Transformer-Based LNA with Loop-Gain-Enhanced Capacitive Negative Feedback</t>
  </si>
  <si>
    <t>Linearity @ 10.7GHz</t>
  </si>
  <si>
    <t>Tsai</t>
  </si>
  <si>
    <t>High Isolation CMOS TDD RF Front-End using Sandwich-Type Concentric Vortical Transformer and Leakage Elimination Technique</t>
  </si>
  <si>
    <t>Chien</t>
  </si>
  <si>
    <t>Design of a W-Band Transformer-Based Switchless Bidirectional PALNA in 65-nm CMOS Process</t>
  </si>
  <si>
    <t>A High-Gain D-Band LNA with Compact Gm-Boosting Core Based on Slow-Wave Feedback Achieving 6.1 dB NF in 40 nm CMOS</t>
  </si>
  <si>
    <t>A Compact 28/39 GHz Dual-Band Concurrent/Band-Switching LNA for 5G Multi-Band Multi-Stream Applications</t>
  </si>
  <si>
    <t>30/37/26/37</t>
  </si>
  <si>
    <t>28,2/37/28/39</t>
  </si>
  <si>
    <t>5/5/3,7/4</t>
  </si>
  <si>
    <t>21/21/26,3/25</t>
  </si>
  <si>
    <t>Mohin</t>
  </si>
  <si>
    <t>A Blocker-Tolerant mm-Wave MIMO Receiver with Spatial Notch Filtering Using Non-Reciprocal Phase-Shifters for 5G Applications</t>
  </si>
  <si>
    <t>A 46.7-dB Gain 9.3-K Noise Temperature 5.8-mW Two-Fold Current Reuse Dual Noise-Canceling LNA in 28-nm CMOS for Qubit Readout</t>
  </si>
  <si>
    <t>0,5/0,6</t>
  </si>
  <si>
    <t>1,37/0,136</t>
  </si>
  <si>
    <t>0,7/1,1</t>
  </si>
  <si>
    <t>1,4/0,15</t>
  </si>
  <si>
    <t>44/46</t>
  </si>
  <si>
    <t>-39/-</t>
  </si>
  <si>
    <t>-23/-</t>
  </si>
  <si>
    <t>1,38/2,19</t>
  </si>
  <si>
    <t>9,7/5,8</t>
  </si>
  <si>
    <t>Chou</t>
  </si>
  <si>
    <t>A 200 GHz Wideband and Compact Differential LNA Leveraging an Active Balun Input Stage in 16nm FinFET Technology</t>
  </si>
  <si>
    <t>A 4.4-mW 19–46-GHz Low-Noise Amplifier with Pole-Converging Gain Flattening and Triple-Resonance Input Matching</t>
  </si>
  <si>
    <t>A Reconfigurable Ultra Compact Bi-directional Amplifier with a Build-in-Self Notch Filter for K/Ka-band Satellite Communication</t>
  </si>
  <si>
    <t>Receiver Frontend, Gain noted @ fc=20GHz</t>
  </si>
  <si>
    <t>A Compact Ka-Band Bi-Directional PA-LNA with 17.4-dBm Psat Using Three-Stack Power Amplifier in 28-nm CMOS</t>
  </si>
  <si>
    <t>A Frequency Reconfigurable Phased-Array Front-End with Enhanced Image-Rejection and High-Resolution LO Phase Shifter for 5G FR2 n258/n260/n261 Bands</t>
  </si>
  <si>
    <t>27/37</t>
  </si>
  <si>
    <t>26/38</t>
  </si>
  <si>
    <t>6,8/8,8</t>
  </si>
  <si>
    <t>-20/-22</t>
  </si>
  <si>
    <t>0.78–1.22° RMS Phase Error, 0.14–0.32 dB RMS Gain Error, K-Band 4-Channel Phased Array Receiver IC for Satcom on the Move (SOTM)</t>
  </si>
  <si>
    <t>Receiver Frontend, Power consumption per channel</t>
  </si>
  <si>
    <t>A 60-GHz Current-Reused Cascode Noise-Canceling Low Noise Amplifier</t>
  </si>
  <si>
    <t>A 131.5–137.5 GHz Low-Power Sub-Harmonic Receiver Using a 65-nm CMOS Technology</t>
  </si>
  <si>
    <t>Receiver Frontend, OP1dB @ 135GHz</t>
  </si>
  <si>
    <t>Design and Analysis of 28 GHz CMOS LNA and VGA Using Gain-Linearity-Boosting and Body Floating Techniques</t>
  </si>
  <si>
    <t>A 0.6 V, 1.74 mW, 2.9 dB NF Inductorless Wideband LNA in 28-nm CMOS Exploiting Noise Cancellation and Current Reuse</t>
  </si>
  <si>
    <t>IIP3 @ 1GHz</t>
  </si>
  <si>
    <t>Channel-Selection LNA Using High-Order N-Path Feedforward Blocker Cancellation Path With Complex Poles for Advanced 5G NR FDD RX</t>
  </si>
  <si>
    <t>1,48/1,805/1,93/2,35/2,62</t>
  </si>
  <si>
    <t>4,48/4,44/4,4/4,6/4,4</t>
  </si>
  <si>
    <t>16,2/18,5/19,5/21,1/22,6</t>
  </si>
  <si>
    <t>4,8/4,95/5,2/5,4/5,8</t>
  </si>
  <si>
    <t>54/55/50/48/56</t>
  </si>
  <si>
    <t>A 3.3-V Ku-Band Front-End Module With 2.6-dB NF and 18.9-dBm OP1dB in 65-nm CMOS</t>
  </si>
  <si>
    <t>A Reconfigurable LNA With Compact Magnetic-Capacitive Coupling Transformer Networks for 5G 28-/39-GHz Applications</t>
  </si>
  <si>
    <t>28/39</t>
  </si>
  <si>
    <t>4,06/4,46</t>
  </si>
  <si>
    <t>16,6/15</t>
  </si>
  <si>
    <t>-12,1/-16,5</t>
  </si>
  <si>
    <t>7,5/7,5</t>
  </si>
  <si>
    <t>Filippi</t>
  </si>
  <si>
    <t>D-Band RX Front-End With a 0°–360° Phase Shifter Based on Programmable Passive Networks in SiGe-BiCMOS</t>
  </si>
  <si>
    <t>Ding</t>
  </si>
  <si>
    <t>A 23-GHz TX/LNA Front-End Module for Inter-Satellite Links With 27.8% Peak Efficiency in the TX Path and 3.1-dB NF in the RX Path</t>
  </si>
  <si>
    <t>28 GHz Compact LNAs With 1.9 dB Minimum NF Using Folded Three-Coil Transformer and Dual-Feedforward Techniques for Phased Array Systems</t>
  </si>
  <si>
    <t>29,1/26,8</t>
  </si>
  <si>
    <t>1,9/2,51</t>
  </si>
  <si>
    <t>27,8/27,4</t>
  </si>
  <si>
    <t>2,2/2,8</t>
  </si>
  <si>
    <t>16,7/11,7</t>
  </si>
  <si>
    <t>-12/-11,2</t>
  </si>
  <si>
    <t>-3,9/-3,5</t>
  </si>
  <si>
    <t>4,3/4,9</t>
  </si>
  <si>
    <t>13,2/3,6</t>
  </si>
  <si>
    <t>IIP3 @28GHz</t>
  </si>
  <si>
    <t>A Single-Ended-to-Differential Low-Noise Amplifier With Transformer-Based Feedback Network for 3–5 GHz UWB Applications</t>
  </si>
  <si>
    <t>Sun</t>
  </si>
  <si>
    <t>A Compact Millimeter-Wave Reconfigurable Dual-Band LNA With Image-Rejection in 28-nm Bulk CMOS for 5G Applications</t>
  </si>
  <si>
    <t>32/36</t>
  </si>
  <si>
    <t>2,5/2,8</t>
  </si>
  <si>
    <t>28/38</t>
  </si>
  <si>
    <t>3,1/3,5</t>
  </si>
  <si>
    <t>18,1/18,9</t>
  </si>
  <si>
    <t>-17/-18,5</t>
  </si>
  <si>
    <t>-8,5/-11</t>
  </si>
  <si>
    <t>9,7/7</t>
  </si>
  <si>
    <t>Blocker-Tolerant Broadband CMOS Low-Noise Amplifier Employing N-Path Filter-Based Load</t>
  </si>
  <si>
    <t>1,84/1,96/2,14/2,66</t>
  </si>
  <si>
    <t>1,93/1,92/1,78/1,5</t>
  </si>
  <si>
    <t>36,4/37,8/39,2/40,4</t>
  </si>
  <si>
    <t>-35,6/-35,3/-38,3/-40,6</t>
  </si>
  <si>
    <t>-28,8/-27,1/-29,6/-27,5</t>
  </si>
  <si>
    <t>0,03/0,02</t>
  </si>
  <si>
    <t>System, MB=[1.7-2.2GHz] (Bands 1/n1, 2/n2, 3/n3), HB=[2,6-2,7GHz]</t>
  </si>
  <si>
    <t>A Ku-Band Broadband High-IF Receiver With Wide Input Dynamic Range in 65-nm CMOS</t>
  </si>
  <si>
    <t>Mahmood</t>
  </si>
  <si>
    <t>A 0.1–4.2 GHz, 960-μW Inductor-Less and Negative Shunt Feedback LNA With Simultaneous Noise and Distortion Cancellation and Bandwidth Extension</t>
  </si>
  <si>
    <t>A 24 to 30-GHz Phased Array Transceiver Front End With 2.8 to 3.1-dB RX NF and 22 to 24% TX Peak Efficiency</t>
  </si>
  <si>
    <t>A D-Band Low-Noise and High-Gain Receiver Front-End Adopting Gmax-Driven Active Mixer</t>
  </si>
  <si>
    <t>A mm-Wave Concurrent Dual-Band Dual-Beam Phased Array Receiver Front-End in 22-nm CMOS SOI</t>
  </si>
  <si>
    <t>6/7</t>
  </si>
  <si>
    <t>6/8,5</t>
  </si>
  <si>
    <t>20,5/18</t>
  </si>
  <si>
    <t>-18,5/-21</t>
  </si>
  <si>
    <t>A Broadband Variable-Gain Low-Noise Amplifier With Low NF and Dual Phase Compensation</t>
  </si>
  <si>
    <t>A 28/39 GHz Tri-Mode Frequency-Reconfigurable LNA for Multiband 5G Communications</t>
  </si>
  <si>
    <t>31/38/34</t>
  </si>
  <si>
    <t>3/4/3,7</t>
  </si>
  <si>
    <t>28/39/34</t>
  </si>
  <si>
    <t>3,25/4,1/3,7</t>
  </si>
  <si>
    <t>23,5/22,9/20</t>
  </si>
  <si>
    <t>-23,5/-24,2/-17,7</t>
  </si>
  <si>
    <t>-14,8/-15/-9,1</t>
  </si>
  <si>
    <t>7,4/8,3/20,2</t>
  </si>
  <si>
    <t>19,8/23,6/43,4</t>
  </si>
  <si>
    <t>A Low-Power 23–25.5-GHz FMCW Radar Transceiver in 65-nm CMOS for AIOT Applications</t>
  </si>
  <si>
    <t>Receiver Frontend, Linearity @ 42 dB gain, Consumption for TRX</t>
  </si>
  <si>
    <t>A 0.01-to-2.6-GHz Two-Fold Current Reuse Dual Noise-Canceling LNA Achieving 6.8-K Noise Temperature for Quantum Applications</t>
  </si>
  <si>
    <t>0,4/0,6</t>
  </si>
  <si>
    <t>1,16/0,1</t>
  </si>
  <si>
    <t>1/1,3</t>
  </si>
  <si>
    <t>1,3/0,2</t>
  </si>
  <si>
    <t>28/29</t>
  </si>
  <si>
    <t>-30/-</t>
  </si>
  <si>
    <t>-18/-</t>
  </si>
  <si>
    <t>1,89/2,59</t>
  </si>
  <si>
    <t>17,6/8,6</t>
  </si>
  <si>
    <t>A 300-μW 2.4-GHz PVT-Insensitive Subthreshold Reference-Based LNA</t>
  </si>
  <si>
    <t>A 60-GHz Phase-Invariant Variable Gain LNA With T/R Switch and Gain Interpolation Techniques in 65-nm CMOS</t>
  </si>
  <si>
    <t>A 58–110 GHz 4.2 dB Minimum NF CMOS LNA With Broadband Simultaneous Noise and Impedance Matching</t>
  </si>
  <si>
    <t>Thangarasu</t>
  </si>
  <si>
    <t>A Ku-Band Fully Differential Current-Reuse Stacked Low-Noise Amplifier in 0.18-μm SiGe BiCMOS Technology</t>
  </si>
  <si>
    <t>A 0.32×0.12 mm2 Cryogenic BiCMOS 0.1–8.8 GHz Low Noise Amplifier Achieving 4 K Noise Temperature for SNWD Readout</t>
  </si>
  <si>
    <t>T:3,6K, *OIP3=4dBm</t>
  </si>
  <si>
    <t>Ultracompact Inductorless Noise-Canceling LNAs in 40-nm CMOS Achieving 2.2-K Noise Temperature for Qubit Readout</t>
  </si>
  <si>
    <t>2/1,8/0,5/1,4</t>
  </si>
  <si>
    <t>0,63/0,033/1,16/0,29</t>
  </si>
  <si>
    <t>0,8/1/1,3/1,2</t>
  </si>
  <si>
    <t>0,95/0,35/1,5/0,35</t>
  </si>
  <si>
    <t>25,6/29/27/30,2</t>
  </si>
  <si>
    <t>-18/-/-27/-</t>
  </si>
  <si>
    <t>-6/-/-20,4/-</t>
  </si>
  <si>
    <t>2,69/2,99/3,75/3,98</t>
  </si>
  <si>
    <t>43,4/19,4/22,6/10,8</t>
  </si>
  <si>
    <t>T:300K/4K/300K/4K</t>
  </si>
  <si>
    <t>Ultralow Noise Figure and Broadband CMOS LNA With Three-Winding Transformer and Large Transistor</t>
  </si>
  <si>
    <t>A 16-Channel 3.1–25.5-GHz Phased-Array Receive Beamformer IC With Two Simultaneous Beams and 2.0–2.4-dB NF for C/X/Ku/Ka-Band SATCOM</t>
  </si>
  <si>
    <t>A Band-Shifting Millimeter-Wave T/R Front-End Using Inductance-Mutation Transformer Technique for Multiband Phased-Array Transceivers</t>
  </si>
  <si>
    <t>25,3/37</t>
  </si>
  <si>
    <t>5,1/5,8</t>
  </si>
  <si>
    <t>21,3/18,3</t>
  </si>
  <si>
    <t>-10,8/-10,1</t>
  </si>
  <si>
    <t>11,4/13,6</t>
  </si>
  <si>
    <t>26,2/19,8</t>
  </si>
  <si>
    <t>A 2.77-dB NF K-Band Four-Element Dual-Beam Phased-Array Receiver With 39-dB Tx-Band Rejection for SATCOM Applications</t>
  </si>
  <si>
    <t>Khyalia</t>
  </si>
  <si>
    <t>A 22–33-GHz Gm-Boosting Low-Power Noise-Canceling LNA in 40-nm CMOS Process</t>
  </si>
  <si>
    <t>A 52–73-GHz LNA With Tri-Coupled Transformer for Gm Boosting and Enhanced Noise Canceling</t>
  </si>
  <si>
    <t>Gurol</t>
  </si>
  <si>
    <t>Highly Linear Low-Noise Amplifier With Novel Two-Mode Feedback Control Method</t>
  </si>
  <si>
    <t>A Low-Power High-IP1dB Low-Noise Amplifier Using Large-Transistor and Class-AB Mode</t>
  </si>
  <si>
    <t>A 1–27 GHz SiGe Low Noise Amplifier With 27-dB Peak Gain and 2.85±1.45 dB NF</t>
  </si>
  <si>
    <t>Lai</t>
  </si>
  <si>
    <t>A CMOS Low Noise Amplifier with Gm-boosting Technique for Multi-band 5G Systems</t>
  </si>
  <si>
    <t>A 36-42 GHz 0.18-μm CMOS Amplifier Using Cascode-Cascade Matching Topology for Millimeter-wave Broadband Applications</t>
  </si>
  <si>
    <t>Mollaalipouramir</t>
  </si>
  <si>
    <t>Low Power and High Linear, Low Noise Amplifier Designed in 22nm FDSOI Technology for 5G Wireless Systems</t>
  </si>
  <si>
    <t>A 7-19 GHz CMOS Low Power LNA Using Body Bias and Current-Reuse Technique</t>
  </si>
  <si>
    <t>A Low Power Wideband Receiver Front End for C/X Band 5G Applications in 90 nm CMOS Technology</t>
  </si>
  <si>
    <t>An Antenna-in-Packaged CMOS Transceiver Array for MU-MIMO Communications</t>
  </si>
  <si>
    <t>A Wideband Low-Noise Amplifier Using High-Pass Filter Structure with Diode Linearizer</t>
  </si>
  <si>
    <t>A Broadband Transmit-Receive Front-End with Three-λ/4-line-based T/R Switch for 5G FR2 Bands</t>
  </si>
  <si>
    <t>275 GHz Quadrature Receivers for THz-Band 6G Indoor Network in 130-nm SiGe Technology</t>
  </si>
  <si>
    <t>CMOS Variable-Gain Low-Noise Amplifier Adopting Transformer-Based Noise Cancelling Technique for 5G NR FR2 Applications</t>
  </si>
  <si>
    <t>Gauthier</t>
  </si>
  <si>
    <t>Low-Noise Si/SiGe HBT for LEO Satellite User Terminals in Ku-Ka Bands</t>
  </si>
  <si>
    <t>Si/SiGe BiCMOS</t>
  </si>
  <si>
    <t>A Wideband Ultra-Low Noise 15–55 GHz Dual-Beam Receive Phased-Array Beamformer with 2.9-4.2 dB NF</t>
  </si>
  <si>
    <t>Vanukuru</t>
  </si>
  <si>
    <t>Analog/mmWave Circuit Demonstrations in State-of-the-Art SiGe BiCMOS Process for 5G and Optical Transceivers</t>
  </si>
  <si>
    <t>Colzani</t>
  </si>
  <si>
    <t>K-band Receiver on SiGe BiCMOS Technology for SatCom Phased Array Systems</t>
  </si>
  <si>
    <t>A Compact 120 GHz LNA in 22 nm FD-SOI with Back-Gate Controllable Variable-Gain</t>
  </si>
  <si>
    <t>A D-Band Low-Noise-Amplifier in SiGe BiCMOS with Broadband Multi-Resonance Matching Networks</t>
  </si>
  <si>
    <t>Gupta</t>
  </si>
  <si>
    <t>A Broadband LNA and Sub-Harmonic Mixer Based Multi-Mode RX in 22nm CMOS</t>
  </si>
  <si>
    <t>20/29</t>
  </si>
  <si>
    <t>5/12</t>
  </si>
  <si>
    <t>Simoncini</t>
  </si>
  <si>
    <t>Fully Integrated Built-In Self Test of Millimeter-Wave LNA based on Avalanche Noise Diodes in 130 nm SiGe BiCMOS Technology</t>
  </si>
  <si>
    <t>A Current-Reused Ultralow-Power IoT LNA With a Robust Linearization Technique</t>
  </si>
  <si>
    <t>High Gain and Low Power K-Band LNA With Reversed Current-Reuse Topology</t>
  </si>
  <si>
    <t>Agrawal</t>
  </si>
  <si>
    <t>A 128-Gb/s D-Band Receiver With Integrated PLL and ADC Achieving 1.95-pJ/b Efficiency in 22-nm FinFET</t>
  </si>
  <si>
    <t>Simulation, Receiver Frontend</t>
  </si>
  <si>
    <t>A Fully Integrated IEEE 802.15.4/4z-Compliant UWB System-on-Chip RF Transceiver Supporting Precision Positioning in a CMOS 28-nm Process</t>
  </si>
  <si>
    <t>A Low-Power 256-Element Ka-Band CMOS Phased-Array Receiver With On-Chip Distributed Radiation Sensors for Small Satellite Constellations</t>
  </si>
  <si>
    <t>A 131–162-GHz Wideband CMOS LNA Using Asymmetric Frequency Responses of Triple-Coupled Transformers</t>
  </si>
  <si>
    <t>RF CMOS</t>
  </si>
  <si>
    <t>A 24–30-GHz Four-Element Phased Array Transceiver With Low Insertion Loss Compact T/R Switch and Bidirectional Phase Shifter for 5G Communication</t>
  </si>
  <si>
    <t>A G-Band SiGe BiCMOS LNA With an On-Chip and Compact Temperature Compensation Biasing Circuit</t>
  </si>
  <si>
    <t>A Miniature 10MHz-3GHz Sub 1-dB NF Cryogenic Inductorless Noise-Canceling Low-Noise Amplifier for Qubit Readout</t>
  </si>
  <si>
    <t>Ghadiri-Sadrabadi</t>
  </si>
  <si>
    <t>Ku/K-Band Low Power Dual-Channel LNAs With Less Than 1.4dB NF for SATCOM Phased Array Applications</t>
  </si>
  <si>
    <t>22/11,5</t>
  </si>
  <si>
    <t>1,4/1,3</t>
  </si>
  <si>
    <t>A 74.8-88.8 GHz Wideband CMOS LNA Achieving +4.73 dBm OP1dB and 6.39 dB Minimum NF</t>
  </si>
  <si>
    <t>A 115.7–139.7 GHz Amplifier with 19.7 dB Peak Gain and 7.9 dB NF in 40-nm CMOS</t>
  </si>
  <si>
    <t>Moody</t>
  </si>
  <si>
    <t>A Low Power V-Band LNA with Wide Supply Voltage Range Exploiting Complementary Current Reuse and Power Efficient Bias Point</t>
  </si>
  <si>
    <t>Yuan</t>
  </si>
  <si>
    <t>A CMOS Low Power K-band FMCW Radar Transceiver Front-End for AIOT Application</t>
  </si>
  <si>
    <t>Dong</t>
  </si>
  <si>
    <t>A 140GHz RF Beamforming Phased-Array Receiver Supporting &gt;20dB IRR with 8GHz Channel Bandwidth at Low IF in 22nm FDSOI CMOS</t>
  </si>
  <si>
    <t>Andree</t>
  </si>
  <si>
    <t>A D-Band to J-Band Low-Noise Amplifier with High Gain-Bandwidth Product in an Advanced 130 nm SiGe BiCMOS Technology</t>
  </si>
  <si>
    <t>High-Linearity 76-81 GHz Radar Receiver with an Intermodulation Distortion Cancellation and High-Power Limiter</t>
  </si>
  <si>
    <t>A Band-Shifting Millimeter-Wave T/R Front-End with Enhanced Imaging and Interference Rejection Covering 5G NR FR2 n257/n258/n259/n260/n261 Bands</t>
  </si>
  <si>
    <t>25/35</t>
  </si>
  <si>
    <t>A Quad-Band RX Phased-Array Receive Beamformer with Two Simultaneous Beams, Polarization Diversity, and 2.1–2.3 dB NF for C/X/Ku/Ka-Band SATCOM</t>
  </si>
  <si>
    <t>A SiGe BiCMOS D-Band LNA with Gain Boosted by Local Feedback in Common-Emitter Transistors</t>
  </si>
  <si>
    <t>Beamformer</t>
  </si>
  <si>
    <t>High-Performance Broadband CMOS Low-Noise Amplifier with a Three-Winding Transformer for Broadband Matching</t>
  </si>
  <si>
    <t>A 28-GHz 12-dBm IIP3 Low-Noise Amplifier Using Source-Sensed Derivative Superposition of Cascode for Full-Duplex Receivers</t>
  </si>
  <si>
    <t>A 0.75 mW Receiver Front-end For NB-IoT</t>
  </si>
  <si>
    <t>A mm-Wave Wideband/Reconfigurable LNA Using a 3-Winding Transformer Load in 22-nm CMOS SOI</t>
  </si>
  <si>
    <t>A mm-Wave Blocker-Tolerant Receiver Achieving &lt;4 dB NF and −3.5 dBm B1dB in 65-nm CMOS</t>
  </si>
  <si>
    <t>A 2.85-mm2 Wideband RF Transceiver in 40-nm CMOS for IoT Micro-Hub Applications</t>
  </si>
  <si>
    <t>Ka-/K-Band Frequency-Reconfigurable Single-Input Differential-Output Low-Noise Amplifier for 5G Applications</t>
  </si>
  <si>
    <t>0.52-mW 30-GHz LNA in 22-nm FDSOI CMOS</t>
  </si>
  <si>
    <t>A 27.5–46.2-GHz Broadband Low Noise Amplifier With IP3 Enhancement</t>
  </si>
  <si>
    <t>Smirnova</t>
  </si>
  <si>
    <t>Ultralow-Power W-Band Low-Noise Amplifier Design in 130-nm SiGe BiCMOS</t>
  </si>
  <si>
    <t>A Tri-Mode Reconfigurable Receiver for GNSS/NB-IoT/BLE With 68-dB HR3 and 60-dB IMRR in 28-nm CMOS</t>
  </si>
  <si>
    <t>0,8/1,2/1,6/2,4</t>
  </si>
  <si>
    <t>2,8/3,1/3,3/3,9</t>
  </si>
  <si>
    <t>A 0.5-V 0.88-mW Low Noise Amplifier With Active and Passive Gm Enhancements in Sub-6 GHz Band</t>
  </si>
  <si>
    <t>A 1.46–1.96-dB-NF 2.1–5.2-GHz Wideband Passive Balun LNA in 22-nm CMOS</t>
  </si>
  <si>
    <t>Rena</t>
  </si>
  <si>
    <t>0.4-1 GHz Subsampling Mixer-First RF Front-End With 50-dB HRR, +10-dBm IB-IIP3 in 65-nm CMOS</t>
  </si>
  <si>
    <t>A 0.4-to-30 GHz CMOS Low Noise Amplifier With Input-Referred Noise Reduction and Coupled-Inductive-Peaking Technique</t>
  </si>
  <si>
    <t>A 6–12 GHz Wideband Low-Noise Amplifier With 0.8–1.5 dB NF and ±0.75 dB Ripple Enabled by the Capacitor Assisting Triple-Winding Transformer</t>
  </si>
  <si>
    <t>Lim</t>
  </si>
  <si>
    <t>An In-Band Full-Duplex Low Noise Amplifier Integrated With an Electrical Balance Duplexer Without Explicit Matching</t>
  </si>
  <si>
    <t>Singh</t>
  </si>
  <si>
    <t>Design Aspects of Single-Ended and Differential SiGe Low-Noise Amplifiers Operating Above fmax/2in Sub-THz/THz Frequencies</t>
  </si>
  <si>
    <t>Najmussadat</t>
  </si>
  <si>
    <t>220-240-GHz High-Gain Phase Shifter Chain and Power Amplifier for Scalable Large Phased-Arrays</t>
  </si>
  <si>
    <t>Shams</t>
  </si>
  <si>
    <t>An OOK and Binary FSK Reconfigurable Dual-Band Noncoherent IR-UWB Receiver Supporting Ternary Signaling</t>
  </si>
  <si>
    <t>A 220-GHz Sliding-IF Quadrature Transmitter and Receiver Chipset for High Data Rate Communication in 0.13-µm SiGe BiCMOS</t>
  </si>
  <si>
    <t>A 2.4 GHz Reconfigurable Cascode/Folded-Cascode Inductive Source Degenerated LNA With Enhanced OP1dB and OIP3 Over Gain Reduction</t>
  </si>
  <si>
    <t>A 39-GHz CMOS Bidirectional Doherty Phased- Array Beamformer Using Shared-LUT DPD With Inter-Element Mismatch Compensation Technique for 5G Base Station</t>
  </si>
  <si>
    <t>Bulk CMOS Low Noise Amplifier With Two Stage HPF Noise Matching Structure</t>
  </si>
  <si>
    <t>Frequency-Reconfigurable Dual-Band Low-Noise Amplifier With Interstage Gm-Boosting for Millimeter-Wave 5G Communication</t>
  </si>
  <si>
    <t>FinFET</t>
  </si>
  <si>
    <t>Frequency</t>
  </si>
  <si>
    <t>NF (dB)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</si>
</sst>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color rgb="FF333333"/>
      <name val="Arial"/>
      <family val="2"/>
    </font>
    <font>
      <sz val="10"/>
      <name val="Arial"/>
      <family val="2"/>
    </font>
    <font>
      <b/>
      <sz val="10"/>
      <name val="Arial"/>
      <family val="2"/>
    </font>
    <font>
      <b/>
      <i/>
      <sz val="10"/>
      <color theme="3" tint="-0.249977111117893"/>
      <name val="Arial"/>
      <family val="2"/>
    </font>
    <font>
      <u/>
      <sz val="11"/>
      <color theme="10"/>
      <name val="Calibri"/>
      <family val="2"/>
      <scheme val="minor"/>
    </font>
    <font>
      <sz val="11"/>
      <color rgb="FF000000"/>
      <name val="Calibri"/>
      <family val="2"/>
      <scheme val="minor"/>
    </font>
    <font>
      <sz val="11"/>
      <color rgb="FF242424"/>
      <name val="Aptos Narrow"/>
      <charset val="1"/>
    </font>
    <font>
      <b/>
      <sz val="10"/>
      <color rgb="FF000000"/>
      <name val="Arial"/>
    </font>
    <font>
      <sz val="10"/>
      <color rgb="FF000000"/>
      <name val="Arial"/>
    </font>
    <font>
      <sz val="11"/>
      <color rgb="FF000000"/>
      <name val="Calibri"/>
      <scheme val="minor"/>
    </font>
  </fonts>
  <fills count="6">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0"/>
        <bgColor indexed="64"/>
      </patternFill>
    </fill>
    <fill>
      <patternFill patternType="solid">
        <fgColor theme="4" tint="0.79998168889431442"/>
        <bgColor indexed="64"/>
      </patternFill>
    </fill>
  </fills>
  <borders count="7">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xf numFmtId="0" fontId="5" fillId="0" borderId="0" applyNumberFormat="0" applyFill="0" applyBorder="0" applyAlignment="0" applyProtection="0"/>
  </cellStyleXfs>
  <cellXfs count="38">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0" borderId="0" xfId="0" applyAlignment="1">
      <alignment wrapText="1"/>
    </xf>
    <xf numFmtId="0" fontId="1" fillId="0" borderId="0" xfId="0" applyFont="1"/>
    <xf numFmtId="0" fontId="1" fillId="0" borderId="0" xfId="0" applyFont="1" applyAlignment="1">
      <alignment wrapText="1"/>
    </xf>
    <xf numFmtId="0" fontId="1" fillId="3" borderId="0" xfId="0" applyFont="1" applyFill="1"/>
    <xf numFmtId="0" fontId="0" fillId="0" borderId="5" xfId="0" applyBorder="1"/>
    <xf numFmtId="0" fontId="3" fillId="0" borderId="0" xfId="1" applyFont="1"/>
    <xf numFmtId="0" fontId="2" fillId="0" borderId="0" xfId="1"/>
    <xf numFmtId="0" fontId="2" fillId="0" borderId="0" xfId="1" applyAlignment="1">
      <alignment vertical="center"/>
    </xf>
    <xf numFmtId="0" fontId="4" fillId="0" borderId="6" xfId="1" applyFont="1" applyBorder="1" applyAlignment="1" applyProtection="1">
      <alignment vertical="center" wrapText="1"/>
      <protection locked="0"/>
    </xf>
    <xf numFmtId="0" fontId="2" fillId="0" borderId="0" xfId="1" applyAlignment="1" applyProtection="1">
      <alignment horizontal="left" vertical="center" wrapText="1"/>
      <protection locked="0"/>
    </xf>
    <xf numFmtId="0" fontId="2" fillId="0" borderId="0" xfId="1" applyAlignment="1" applyProtection="1">
      <alignment wrapText="1"/>
      <protection locked="0"/>
    </xf>
    <xf numFmtId="0" fontId="4" fillId="4" borderId="6" xfId="1" applyFont="1" applyFill="1" applyBorder="1" applyAlignment="1" applyProtection="1">
      <alignment vertical="center" wrapText="1"/>
      <protection locked="0"/>
    </xf>
    <xf numFmtId="0" fontId="2" fillId="0" borderId="0" xfId="1" applyAlignment="1" applyProtection="1">
      <alignment vertical="center" wrapText="1"/>
      <protection locked="0"/>
    </xf>
    <xf numFmtId="0" fontId="4" fillId="0" borderId="6" xfId="1" applyFont="1" applyBorder="1" applyAlignment="1" applyProtection="1">
      <alignment wrapText="1"/>
      <protection locked="0"/>
    </xf>
    <xf numFmtId="0" fontId="4" fillId="0" borderId="6" xfId="1" applyFont="1" applyBorder="1"/>
    <xf numFmtId="0" fontId="2" fillId="0" borderId="0" xfId="1" applyAlignment="1">
      <alignment wrapText="1"/>
    </xf>
    <xf numFmtId="0" fontId="3" fillId="0" borderId="0" xfId="1" applyFont="1" applyAlignment="1" applyProtection="1">
      <alignment horizontal="left" vertical="center" wrapText="1"/>
      <protection locked="0"/>
    </xf>
    <xf numFmtId="0" fontId="4" fillId="0" borderId="6" xfId="1" applyFont="1" applyBorder="1" applyAlignment="1">
      <alignment wrapText="1"/>
    </xf>
    <xf numFmtId="0" fontId="2" fillId="0" borderId="0" xfId="1" applyAlignment="1">
      <alignment horizontal="left" wrapText="1"/>
    </xf>
    <xf numFmtId="49" fontId="2" fillId="0" borderId="0" xfId="1" applyNumberFormat="1"/>
    <xf numFmtId="0" fontId="3" fillId="5" borderId="0" xfId="1" applyFont="1" applyFill="1" applyAlignment="1">
      <alignment horizontal="center" vertical="center"/>
    </xf>
    <xf numFmtId="0" fontId="3" fillId="5" borderId="0" xfId="1" applyFont="1" applyFill="1" applyAlignment="1">
      <alignment horizontal="center" vertical="center" wrapText="1"/>
    </xf>
    <xf numFmtId="0" fontId="3" fillId="5" borderId="0" xfId="1" applyFont="1" applyFill="1" applyAlignment="1">
      <alignment horizontal="center"/>
    </xf>
    <xf numFmtId="0" fontId="6" fillId="3" borderId="0" xfId="2" applyFont="1" applyFill="1" applyAlignment="1"/>
    <xf numFmtId="16" fontId="0" fillId="0" borderId="0" xfId="0" applyNumberFormat="1"/>
    <xf numFmtId="0" fontId="7" fillId="0" borderId="0" xfId="0" applyFont="1"/>
    <xf numFmtId="0" fontId="6" fillId="3" borderId="0" xfId="2" applyFont="1" applyFill="1" applyAlignment="1">
      <alignment wrapText="1"/>
    </xf>
    <xf numFmtId="16" fontId="0" fillId="0" borderId="0" xfId="0" quotePrefix="1" applyNumberFormat="1"/>
    <xf numFmtId="0" fontId="9" fillId="0" borderId="0" xfId="1" applyFont="1" applyAlignment="1">
      <alignment wrapText="1"/>
    </xf>
    <xf numFmtId="0" fontId="0" fillId="2" borderId="0" xfId="0" applyFill="1"/>
    <xf numFmtId="0" fontId="0" fillId="0" borderId="0" xfId="0" quotePrefix="1"/>
    <xf numFmtId="14" fontId="0" fillId="0" borderId="0" xfId="0" quotePrefix="1" applyNumberFormat="1"/>
    <xf numFmtId="0" fontId="10" fillId="0" borderId="0" xfId="0" applyFont="1"/>
  </cellXfs>
  <cellStyles count="3">
    <cellStyle name="Hyperlink" xfId="2" xr:uid="{00000000-000B-0000-0000-000008000000}"/>
    <cellStyle name="Normal" xfId="0" builtinId="0"/>
    <cellStyle name="Normal 2" xfId="1" xr:uid="{8E5C84CE-BD36-4F58-A3EE-9C58BF34A5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75559952877227"/>
          <c:y val="5.185814350866727E-2"/>
          <c:w val="0.85924962546493178"/>
          <c:h val="0.78145903767959102"/>
        </c:manualLayout>
      </c:layout>
      <c:scatterChart>
        <c:scatterStyle val="lineMarker"/>
        <c:varyColors val="0"/>
        <c:ser>
          <c:idx val="0"/>
          <c:order val="0"/>
          <c:tx>
            <c:strRef>
              <c:f>{"CMOS Bulk"}</c:f>
              <c:strCache>
                <c:ptCount val="1"/>
                <c:pt idx="0">
                  <c:v>CMOS Bulk</c:v>
                </c:pt>
              </c:strCache>
            </c:strRef>
          </c:tx>
          <c:spPr>
            <a:ln w="12700" cap="rnd">
              <a:noFill/>
              <a:round/>
            </a:ln>
            <a:effectLst/>
          </c:spPr>
          <c:marker>
            <c:symbol val="square"/>
            <c:size val="8"/>
            <c:spPr>
              <a:solidFill>
                <a:schemeClr val="accent1">
                  <a:lumMod val="75000"/>
                  <a:alpha val="40000"/>
                </a:schemeClr>
              </a:solidFill>
              <a:ln w="12700">
                <a:solidFill>
                  <a:schemeClr val="tx1"/>
                </a:solidFill>
              </a:ln>
              <a:effectLst/>
            </c:spPr>
          </c:marker>
          <c:xVal>
            <c:numRef>
              <c:f>Plot_NF_Vs_Frequency!$B$3:$B$361</c:f>
              <c:numCache>
                <c:formatCode>General</c:formatCode>
                <c:ptCount val="359"/>
                <c:pt idx="0">
                  <c:v>0.1</c:v>
                </c:pt>
                <c:pt idx="1">
                  <c:v>0.3</c:v>
                </c:pt>
                <c:pt idx="2">
                  <c:v>0.433</c:v>
                </c:pt>
                <c:pt idx="3">
                  <c:v>0.5</c:v>
                </c:pt>
                <c:pt idx="4">
                  <c:v>0.5</c:v>
                </c:pt>
                <c:pt idx="5">
                  <c:v>0.6</c:v>
                </c:pt>
                <c:pt idx="6">
                  <c:v>0.63700000000000001</c:v>
                </c:pt>
                <c:pt idx="7">
                  <c:v>0.8</c:v>
                </c:pt>
                <c:pt idx="8">
                  <c:v>1</c:v>
                </c:pt>
                <c:pt idx="9">
                  <c:v>1</c:v>
                </c:pt>
                <c:pt idx="10">
                  <c:v>1</c:v>
                </c:pt>
                <c:pt idx="11">
                  <c:v>1.2</c:v>
                </c:pt>
                <c:pt idx="12">
                  <c:v>1.4</c:v>
                </c:pt>
                <c:pt idx="13">
                  <c:v>1.7</c:v>
                </c:pt>
                <c:pt idx="14">
                  <c:v>2</c:v>
                </c:pt>
                <c:pt idx="15">
                  <c:v>2</c:v>
                </c:pt>
                <c:pt idx="16">
                  <c:v>2</c:v>
                </c:pt>
                <c:pt idx="17">
                  <c:v>2</c:v>
                </c:pt>
                <c:pt idx="18">
                  <c:v>2.14</c:v>
                </c:pt>
                <c:pt idx="19">
                  <c:v>2.4</c:v>
                </c:pt>
                <c:pt idx="20">
                  <c:v>2.4</c:v>
                </c:pt>
                <c:pt idx="21">
                  <c:v>2.4</c:v>
                </c:pt>
                <c:pt idx="22">
                  <c:v>2.42</c:v>
                </c:pt>
                <c:pt idx="23">
                  <c:v>2.5</c:v>
                </c:pt>
                <c:pt idx="24">
                  <c:v>3</c:v>
                </c:pt>
                <c:pt idx="25">
                  <c:v>3.5</c:v>
                </c:pt>
                <c:pt idx="26">
                  <c:v>3.8</c:v>
                </c:pt>
                <c:pt idx="27">
                  <c:v>4</c:v>
                </c:pt>
                <c:pt idx="28">
                  <c:v>4.21</c:v>
                </c:pt>
                <c:pt idx="29">
                  <c:v>4.4000000000000004</c:v>
                </c:pt>
                <c:pt idx="30">
                  <c:v>5</c:v>
                </c:pt>
                <c:pt idx="31">
                  <c:v>5.2</c:v>
                </c:pt>
                <c:pt idx="32">
                  <c:v>5.3</c:v>
                </c:pt>
                <c:pt idx="33">
                  <c:v>7.2</c:v>
                </c:pt>
                <c:pt idx="34">
                  <c:v>10</c:v>
                </c:pt>
                <c:pt idx="35">
                  <c:v>10</c:v>
                </c:pt>
                <c:pt idx="36">
                  <c:v>10</c:v>
                </c:pt>
                <c:pt idx="37">
                  <c:v>11</c:v>
                </c:pt>
                <c:pt idx="38">
                  <c:v>15</c:v>
                </c:pt>
                <c:pt idx="39">
                  <c:v>16</c:v>
                </c:pt>
                <c:pt idx="40">
                  <c:v>19</c:v>
                </c:pt>
                <c:pt idx="41">
                  <c:v>19</c:v>
                </c:pt>
                <c:pt idx="42">
                  <c:v>20</c:v>
                </c:pt>
                <c:pt idx="43">
                  <c:v>20</c:v>
                </c:pt>
                <c:pt idx="44">
                  <c:v>20</c:v>
                </c:pt>
                <c:pt idx="45">
                  <c:v>20</c:v>
                </c:pt>
                <c:pt idx="46">
                  <c:v>20</c:v>
                </c:pt>
                <c:pt idx="47">
                  <c:v>20</c:v>
                </c:pt>
                <c:pt idx="48">
                  <c:v>20.5</c:v>
                </c:pt>
                <c:pt idx="49">
                  <c:v>21</c:v>
                </c:pt>
                <c:pt idx="50">
                  <c:v>21</c:v>
                </c:pt>
                <c:pt idx="51">
                  <c:v>24</c:v>
                </c:pt>
                <c:pt idx="52">
                  <c:v>24</c:v>
                </c:pt>
                <c:pt idx="53">
                  <c:v>24.5</c:v>
                </c:pt>
                <c:pt idx="54">
                  <c:v>24.8</c:v>
                </c:pt>
                <c:pt idx="55">
                  <c:v>25</c:v>
                </c:pt>
                <c:pt idx="56">
                  <c:v>25</c:v>
                </c:pt>
                <c:pt idx="57">
                  <c:v>25</c:v>
                </c:pt>
                <c:pt idx="58">
                  <c:v>25</c:v>
                </c:pt>
                <c:pt idx="59">
                  <c:v>26</c:v>
                </c:pt>
                <c:pt idx="60">
                  <c:v>26</c:v>
                </c:pt>
                <c:pt idx="61">
                  <c:v>26</c:v>
                </c:pt>
                <c:pt idx="62">
                  <c:v>26</c:v>
                </c:pt>
                <c:pt idx="63">
                  <c:v>26</c:v>
                </c:pt>
                <c:pt idx="64">
                  <c:v>26</c:v>
                </c:pt>
                <c:pt idx="65">
                  <c:v>27</c:v>
                </c:pt>
                <c:pt idx="66">
                  <c:v>28</c:v>
                </c:pt>
                <c:pt idx="67">
                  <c:v>28</c:v>
                </c:pt>
                <c:pt idx="68">
                  <c:v>28</c:v>
                </c:pt>
                <c:pt idx="69">
                  <c:v>28</c:v>
                </c:pt>
                <c:pt idx="70">
                  <c:v>28</c:v>
                </c:pt>
                <c:pt idx="71">
                  <c:v>28</c:v>
                </c:pt>
                <c:pt idx="72">
                  <c:v>28</c:v>
                </c:pt>
                <c:pt idx="73">
                  <c:v>28</c:v>
                </c:pt>
                <c:pt idx="74">
                  <c:v>28</c:v>
                </c:pt>
                <c:pt idx="75">
                  <c:v>28</c:v>
                </c:pt>
                <c:pt idx="76">
                  <c:v>29.1</c:v>
                </c:pt>
                <c:pt idx="77">
                  <c:v>30</c:v>
                </c:pt>
                <c:pt idx="78">
                  <c:v>30</c:v>
                </c:pt>
                <c:pt idx="79">
                  <c:v>30</c:v>
                </c:pt>
                <c:pt idx="80">
                  <c:v>30</c:v>
                </c:pt>
                <c:pt idx="81">
                  <c:v>30</c:v>
                </c:pt>
                <c:pt idx="82">
                  <c:v>30</c:v>
                </c:pt>
                <c:pt idx="83">
                  <c:v>30</c:v>
                </c:pt>
                <c:pt idx="84">
                  <c:v>31</c:v>
                </c:pt>
                <c:pt idx="85">
                  <c:v>31</c:v>
                </c:pt>
                <c:pt idx="86">
                  <c:v>31</c:v>
                </c:pt>
                <c:pt idx="87">
                  <c:v>31</c:v>
                </c:pt>
                <c:pt idx="88">
                  <c:v>31</c:v>
                </c:pt>
                <c:pt idx="89">
                  <c:v>31</c:v>
                </c:pt>
                <c:pt idx="90">
                  <c:v>32</c:v>
                </c:pt>
                <c:pt idx="91">
                  <c:v>32</c:v>
                </c:pt>
                <c:pt idx="92">
                  <c:v>33</c:v>
                </c:pt>
                <c:pt idx="93">
                  <c:v>34</c:v>
                </c:pt>
                <c:pt idx="94">
                  <c:v>35</c:v>
                </c:pt>
                <c:pt idx="95">
                  <c:v>35</c:v>
                </c:pt>
                <c:pt idx="96">
                  <c:v>36</c:v>
                </c:pt>
                <c:pt idx="97">
                  <c:v>38</c:v>
                </c:pt>
                <c:pt idx="98">
                  <c:v>39</c:v>
                </c:pt>
                <c:pt idx="99">
                  <c:v>39</c:v>
                </c:pt>
                <c:pt idx="100">
                  <c:v>40</c:v>
                </c:pt>
                <c:pt idx="101">
                  <c:v>40</c:v>
                </c:pt>
                <c:pt idx="102">
                  <c:v>40</c:v>
                </c:pt>
                <c:pt idx="103">
                  <c:v>40</c:v>
                </c:pt>
                <c:pt idx="104">
                  <c:v>41</c:v>
                </c:pt>
                <c:pt idx="105">
                  <c:v>50</c:v>
                </c:pt>
                <c:pt idx="106">
                  <c:v>53</c:v>
                </c:pt>
                <c:pt idx="107">
                  <c:v>55</c:v>
                </c:pt>
                <c:pt idx="108">
                  <c:v>56</c:v>
                </c:pt>
                <c:pt idx="109">
                  <c:v>57</c:v>
                </c:pt>
                <c:pt idx="110">
                  <c:v>60</c:v>
                </c:pt>
                <c:pt idx="111">
                  <c:v>60</c:v>
                </c:pt>
                <c:pt idx="112">
                  <c:v>60</c:v>
                </c:pt>
                <c:pt idx="113">
                  <c:v>60.5</c:v>
                </c:pt>
                <c:pt idx="114">
                  <c:v>61</c:v>
                </c:pt>
                <c:pt idx="115">
                  <c:v>72</c:v>
                </c:pt>
                <c:pt idx="116">
                  <c:v>73</c:v>
                </c:pt>
                <c:pt idx="117">
                  <c:v>74</c:v>
                </c:pt>
                <c:pt idx="118">
                  <c:v>74</c:v>
                </c:pt>
                <c:pt idx="119">
                  <c:v>75</c:v>
                </c:pt>
                <c:pt idx="120">
                  <c:v>76</c:v>
                </c:pt>
                <c:pt idx="121">
                  <c:v>76</c:v>
                </c:pt>
                <c:pt idx="122">
                  <c:v>78</c:v>
                </c:pt>
                <c:pt idx="123">
                  <c:v>80</c:v>
                </c:pt>
                <c:pt idx="124">
                  <c:v>80</c:v>
                </c:pt>
                <c:pt idx="125">
                  <c:v>88</c:v>
                </c:pt>
                <c:pt idx="126">
                  <c:v>88</c:v>
                </c:pt>
                <c:pt idx="127">
                  <c:v>89</c:v>
                </c:pt>
                <c:pt idx="128">
                  <c:v>89.5</c:v>
                </c:pt>
                <c:pt idx="129">
                  <c:v>90</c:v>
                </c:pt>
                <c:pt idx="130">
                  <c:v>90</c:v>
                </c:pt>
                <c:pt idx="131">
                  <c:v>90</c:v>
                </c:pt>
                <c:pt idx="132">
                  <c:v>91</c:v>
                </c:pt>
                <c:pt idx="133">
                  <c:v>94</c:v>
                </c:pt>
                <c:pt idx="134">
                  <c:v>95.6</c:v>
                </c:pt>
                <c:pt idx="135">
                  <c:v>96</c:v>
                </c:pt>
                <c:pt idx="136">
                  <c:v>97</c:v>
                </c:pt>
                <c:pt idx="137">
                  <c:v>99</c:v>
                </c:pt>
                <c:pt idx="138">
                  <c:v>100</c:v>
                </c:pt>
                <c:pt idx="139">
                  <c:v>104</c:v>
                </c:pt>
                <c:pt idx="140">
                  <c:v>104</c:v>
                </c:pt>
                <c:pt idx="141">
                  <c:v>106</c:v>
                </c:pt>
                <c:pt idx="142">
                  <c:v>115</c:v>
                </c:pt>
                <c:pt idx="143">
                  <c:v>115</c:v>
                </c:pt>
                <c:pt idx="144">
                  <c:v>123</c:v>
                </c:pt>
                <c:pt idx="145">
                  <c:v>140</c:v>
                </c:pt>
                <c:pt idx="146">
                  <c:v>148</c:v>
                </c:pt>
                <c:pt idx="147">
                  <c:v>180</c:v>
                </c:pt>
                <c:pt idx="148">
                  <c:v>8.5</c:v>
                </c:pt>
                <c:pt idx="149">
                  <c:v>140</c:v>
                </c:pt>
                <c:pt idx="150">
                  <c:v>13.5</c:v>
                </c:pt>
                <c:pt idx="151">
                  <c:v>4</c:v>
                </c:pt>
                <c:pt idx="152">
                  <c:v>5</c:v>
                </c:pt>
                <c:pt idx="153">
                  <c:v>150</c:v>
                </c:pt>
                <c:pt idx="154">
                  <c:v>27</c:v>
                </c:pt>
                <c:pt idx="155">
                  <c:v>6.5</c:v>
                </c:pt>
                <c:pt idx="156">
                  <c:v>73</c:v>
                </c:pt>
                <c:pt idx="157">
                  <c:v>25</c:v>
                </c:pt>
                <c:pt idx="158">
                  <c:v>120</c:v>
                </c:pt>
                <c:pt idx="159">
                  <c:v>2</c:v>
                </c:pt>
                <c:pt idx="160">
                  <c:v>38</c:v>
                </c:pt>
                <c:pt idx="161">
                  <c:v>26</c:v>
                </c:pt>
                <c:pt idx="162">
                  <c:v>1</c:v>
                </c:pt>
                <c:pt idx="163">
                  <c:v>10</c:v>
                </c:pt>
                <c:pt idx="164">
                  <c:v>70</c:v>
                </c:pt>
                <c:pt idx="165">
                  <c:v>30.5</c:v>
                </c:pt>
                <c:pt idx="166">
                  <c:v>0.9</c:v>
                </c:pt>
                <c:pt idx="167">
                  <c:v>71.5</c:v>
                </c:pt>
                <c:pt idx="168">
                  <c:v>2.5</c:v>
                </c:pt>
                <c:pt idx="169">
                  <c:v>2.62</c:v>
                </c:pt>
                <c:pt idx="170">
                  <c:v>31</c:v>
                </c:pt>
                <c:pt idx="171">
                  <c:v>6.7</c:v>
                </c:pt>
                <c:pt idx="172">
                  <c:v>140</c:v>
                </c:pt>
                <c:pt idx="173">
                  <c:v>146</c:v>
                </c:pt>
                <c:pt idx="174">
                  <c:v>0.75</c:v>
                </c:pt>
                <c:pt idx="175">
                  <c:v>82.2</c:v>
                </c:pt>
                <c:pt idx="176">
                  <c:v>216</c:v>
                </c:pt>
                <c:pt idx="177">
                  <c:v>123</c:v>
                </c:pt>
                <c:pt idx="178">
                  <c:v>61</c:v>
                </c:pt>
                <c:pt idx="179">
                  <c:v>21</c:v>
                </c:pt>
                <c:pt idx="180">
                  <c:v>3</c:v>
                </c:pt>
                <c:pt idx="181">
                  <c:v>1.8049999999999999</c:v>
                </c:pt>
                <c:pt idx="182">
                  <c:v>2.62</c:v>
                </c:pt>
                <c:pt idx="183">
                  <c:v>0.5</c:v>
                </c:pt>
                <c:pt idx="184">
                  <c:v>12</c:v>
                </c:pt>
                <c:pt idx="185">
                  <c:v>73</c:v>
                </c:pt>
                <c:pt idx="186">
                  <c:v>1.5</c:v>
                </c:pt>
                <c:pt idx="187">
                  <c:v>13</c:v>
                </c:pt>
                <c:pt idx="188">
                  <c:v>132</c:v>
                </c:pt>
                <c:pt idx="189">
                  <c:v>146</c:v>
                </c:pt>
                <c:pt idx="190">
                  <c:v>2.5</c:v>
                </c:pt>
                <c:pt idx="191">
                  <c:v>50</c:v>
                </c:pt>
                <c:pt idx="192">
                  <c:v>2.5</c:v>
                </c:pt>
                <c:pt idx="193">
                  <c:v>0.9</c:v>
                </c:pt>
                <c:pt idx="194">
                  <c:v>20</c:v>
                </c:pt>
                <c:pt idx="195">
                  <c:v>7</c:v>
                </c:pt>
                <c:pt idx="196">
                  <c:v>1.93</c:v>
                </c:pt>
                <c:pt idx="197">
                  <c:v>129</c:v>
                </c:pt>
                <c:pt idx="198">
                  <c:v>118</c:v>
                </c:pt>
                <c:pt idx="199">
                  <c:v>24</c:v>
                </c:pt>
                <c:pt idx="200">
                  <c:v>123</c:v>
                </c:pt>
                <c:pt idx="201">
                  <c:v>30</c:v>
                </c:pt>
                <c:pt idx="202">
                  <c:v>4</c:v>
                </c:pt>
                <c:pt idx="203">
                  <c:v>141</c:v>
                </c:pt>
                <c:pt idx="204">
                  <c:v>29</c:v>
                </c:pt>
                <c:pt idx="205">
                  <c:v>95</c:v>
                </c:pt>
                <c:pt idx="206">
                  <c:v>240</c:v>
                </c:pt>
                <c:pt idx="207">
                  <c:v>0.51</c:v>
                </c:pt>
                <c:pt idx="208">
                  <c:v>5</c:v>
                </c:pt>
                <c:pt idx="209">
                  <c:v>10.199999999999999</c:v>
                </c:pt>
                <c:pt idx="210">
                  <c:v>2.6</c:v>
                </c:pt>
                <c:pt idx="211">
                  <c:v>85</c:v>
                </c:pt>
                <c:pt idx="212">
                  <c:v>146</c:v>
                </c:pt>
                <c:pt idx="213">
                  <c:v>30</c:v>
                </c:pt>
                <c:pt idx="214">
                  <c:v>0.5</c:v>
                </c:pt>
                <c:pt idx="215">
                  <c:v>24</c:v>
                </c:pt>
                <c:pt idx="216">
                  <c:v>31</c:v>
                </c:pt>
                <c:pt idx="217">
                  <c:v>27</c:v>
                </c:pt>
                <c:pt idx="218">
                  <c:v>20</c:v>
                </c:pt>
                <c:pt idx="219">
                  <c:v>52.5</c:v>
                </c:pt>
                <c:pt idx="220">
                  <c:v>133.5</c:v>
                </c:pt>
                <c:pt idx="221">
                  <c:v>25</c:v>
                </c:pt>
                <c:pt idx="222">
                  <c:v>2</c:v>
                </c:pt>
                <c:pt idx="223">
                  <c:v>2.62</c:v>
                </c:pt>
                <c:pt idx="224">
                  <c:v>11.5</c:v>
                </c:pt>
                <c:pt idx="225">
                  <c:v>25</c:v>
                </c:pt>
                <c:pt idx="226">
                  <c:v>29.1</c:v>
                </c:pt>
                <c:pt idx="227">
                  <c:v>3.5</c:v>
                </c:pt>
                <c:pt idx="228">
                  <c:v>32</c:v>
                </c:pt>
                <c:pt idx="229">
                  <c:v>2.7</c:v>
                </c:pt>
                <c:pt idx="230">
                  <c:v>14.5</c:v>
                </c:pt>
                <c:pt idx="231">
                  <c:v>2</c:v>
                </c:pt>
                <c:pt idx="232">
                  <c:v>3</c:v>
                </c:pt>
                <c:pt idx="233">
                  <c:v>24</c:v>
                </c:pt>
                <c:pt idx="234">
                  <c:v>31</c:v>
                </c:pt>
                <c:pt idx="235">
                  <c:v>24</c:v>
                </c:pt>
                <c:pt idx="236">
                  <c:v>0.4</c:v>
                </c:pt>
                <c:pt idx="237">
                  <c:v>2.35</c:v>
                </c:pt>
                <c:pt idx="238">
                  <c:v>53</c:v>
                </c:pt>
                <c:pt idx="239">
                  <c:v>63</c:v>
                </c:pt>
                <c:pt idx="240">
                  <c:v>2</c:v>
                </c:pt>
                <c:pt idx="241">
                  <c:v>36</c:v>
                </c:pt>
                <c:pt idx="242">
                  <c:v>25.3</c:v>
                </c:pt>
                <c:pt idx="243">
                  <c:v>23</c:v>
                </c:pt>
                <c:pt idx="244">
                  <c:v>68.5</c:v>
                </c:pt>
                <c:pt idx="245">
                  <c:v>13</c:v>
                </c:pt>
                <c:pt idx="246">
                  <c:v>35</c:v>
                </c:pt>
                <c:pt idx="247">
                  <c:v>39</c:v>
                </c:pt>
                <c:pt idx="248">
                  <c:v>10</c:v>
                </c:pt>
                <c:pt idx="249">
                  <c:v>5</c:v>
                </c:pt>
                <c:pt idx="250">
                  <c:v>50</c:v>
                </c:pt>
                <c:pt idx="251">
                  <c:v>29</c:v>
                </c:pt>
                <c:pt idx="252">
                  <c:v>31</c:v>
                </c:pt>
                <c:pt idx="253">
                  <c:v>27</c:v>
                </c:pt>
                <c:pt idx="254">
                  <c:v>20</c:v>
                </c:pt>
                <c:pt idx="255">
                  <c:v>2.4</c:v>
                </c:pt>
                <c:pt idx="256">
                  <c:v>22.6</c:v>
                </c:pt>
                <c:pt idx="257">
                  <c:v>40</c:v>
                </c:pt>
                <c:pt idx="258">
                  <c:v>29</c:v>
                </c:pt>
                <c:pt idx="259">
                  <c:v>26</c:v>
                </c:pt>
                <c:pt idx="260">
                  <c:v>1.8</c:v>
                </c:pt>
                <c:pt idx="261">
                  <c:v>89</c:v>
                </c:pt>
                <c:pt idx="262">
                  <c:v>137</c:v>
                </c:pt>
                <c:pt idx="263">
                  <c:v>24.5</c:v>
                </c:pt>
                <c:pt idx="264">
                  <c:v>25</c:v>
                </c:pt>
                <c:pt idx="265">
                  <c:v>38</c:v>
                </c:pt>
                <c:pt idx="266">
                  <c:v>25</c:v>
                </c:pt>
                <c:pt idx="267">
                  <c:v>0.81030000000000002</c:v>
                </c:pt>
                <c:pt idx="268">
                  <c:v>26</c:v>
                </c:pt>
                <c:pt idx="269">
                  <c:v>5.5</c:v>
                </c:pt>
                <c:pt idx="270">
                  <c:v>27</c:v>
                </c:pt>
                <c:pt idx="271">
                  <c:v>0.8</c:v>
                </c:pt>
                <c:pt idx="272">
                  <c:v>5.8</c:v>
                </c:pt>
                <c:pt idx="273">
                  <c:v>4</c:v>
                </c:pt>
                <c:pt idx="274">
                  <c:v>0.65</c:v>
                </c:pt>
                <c:pt idx="275">
                  <c:v>5</c:v>
                </c:pt>
                <c:pt idx="276">
                  <c:v>15</c:v>
                </c:pt>
                <c:pt idx="277">
                  <c:v>2.8</c:v>
                </c:pt>
                <c:pt idx="278">
                  <c:v>2.2999999999999998</c:v>
                </c:pt>
                <c:pt idx="279">
                  <c:v>40</c:v>
                </c:pt>
                <c:pt idx="280">
                  <c:v>3.95</c:v>
                </c:pt>
                <c:pt idx="281">
                  <c:v>28.5</c:v>
                </c:pt>
                <c:pt idx="282">
                  <c:v>30</c:v>
                </c:pt>
                <c:pt idx="283">
                  <c:v>150</c:v>
                </c:pt>
              </c:numCache>
            </c:numRef>
          </c:xVal>
          <c:yVal>
            <c:numRef>
              <c:f>Plot_NF_Vs_Frequency!$C$3:$C$361</c:f>
              <c:numCache>
                <c:formatCode>General</c:formatCode>
                <c:ptCount val="359"/>
                <c:pt idx="0">
                  <c:v>2</c:v>
                </c:pt>
                <c:pt idx="1">
                  <c:v>6.2</c:v>
                </c:pt>
                <c:pt idx="2">
                  <c:v>2.1</c:v>
                </c:pt>
                <c:pt idx="3">
                  <c:v>3.2</c:v>
                </c:pt>
                <c:pt idx="4">
                  <c:v>3.2</c:v>
                </c:pt>
                <c:pt idx="5">
                  <c:v>2.5</c:v>
                </c:pt>
                <c:pt idx="6">
                  <c:v>2.8</c:v>
                </c:pt>
                <c:pt idx="7">
                  <c:v>3.7</c:v>
                </c:pt>
                <c:pt idx="8">
                  <c:v>1.56</c:v>
                </c:pt>
                <c:pt idx="9">
                  <c:v>2.7</c:v>
                </c:pt>
                <c:pt idx="10">
                  <c:v>2.8</c:v>
                </c:pt>
                <c:pt idx="11">
                  <c:v>2.7</c:v>
                </c:pt>
                <c:pt idx="12">
                  <c:v>2.5</c:v>
                </c:pt>
                <c:pt idx="13">
                  <c:v>4.8</c:v>
                </c:pt>
                <c:pt idx="14">
                  <c:v>2.57</c:v>
                </c:pt>
                <c:pt idx="15">
                  <c:v>3</c:v>
                </c:pt>
                <c:pt idx="16">
                  <c:v>3.7</c:v>
                </c:pt>
                <c:pt idx="17">
                  <c:v>6</c:v>
                </c:pt>
                <c:pt idx="18">
                  <c:v>4.5</c:v>
                </c:pt>
                <c:pt idx="19">
                  <c:v>2.13</c:v>
                </c:pt>
                <c:pt idx="20">
                  <c:v>3.2</c:v>
                </c:pt>
                <c:pt idx="21">
                  <c:v>6.1</c:v>
                </c:pt>
                <c:pt idx="22">
                  <c:v>2.97</c:v>
                </c:pt>
                <c:pt idx="23">
                  <c:v>3</c:v>
                </c:pt>
                <c:pt idx="24">
                  <c:v>3.4</c:v>
                </c:pt>
                <c:pt idx="25">
                  <c:v>2.9</c:v>
                </c:pt>
                <c:pt idx="26">
                  <c:v>3.3</c:v>
                </c:pt>
                <c:pt idx="27">
                  <c:v>0.75</c:v>
                </c:pt>
                <c:pt idx="28">
                  <c:v>3.02</c:v>
                </c:pt>
                <c:pt idx="29">
                  <c:v>0.74</c:v>
                </c:pt>
                <c:pt idx="30">
                  <c:v>1.7</c:v>
                </c:pt>
                <c:pt idx="31">
                  <c:v>3.18</c:v>
                </c:pt>
                <c:pt idx="32">
                  <c:v>4.3</c:v>
                </c:pt>
                <c:pt idx="33">
                  <c:v>3.3</c:v>
                </c:pt>
                <c:pt idx="34">
                  <c:v>6.2</c:v>
                </c:pt>
                <c:pt idx="35">
                  <c:v>2.5</c:v>
                </c:pt>
                <c:pt idx="36">
                  <c:v>3.5</c:v>
                </c:pt>
                <c:pt idx="37">
                  <c:v>2.2999999999999998</c:v>
                </c:pt>
                <c:pt idx="38">
                  <c:v>3.7</c:v>
                </c:pt>
                <c:pt idx="39">
                  <c:v>1.7</c:v>
                </c:pt>
                <c:pt idx="40">
                  <c:v>5</c:v>
                </c:pt>
                <c:pt idx="41">
                  <c:v>5</c:v>
                </c:pt>
                <c:pt idx="42">
                  <c:v>3.3</c:v>
                </c:pt>
                <c:pt idx="43">
                  <c:v>2</c:v>
                </c:pt>
                <c:pt idx="44">
                  <c:v>3.3</c:v>
                </c:pt>
                <c:pt idx="45">
                  <c:v>4.0999999999999996</c:v>
                </c:pt>
                <c:pt idx="46">
                  <c:v>4.0999999999999996</c:v>
                </c:pt>
                <c:pt idx="47">
                  <c:v>4.7</c:v>
                </c:pt>
                <c:pt idx="48">
                  <c:v>4.5999999999999996</c:v>
                </c:pt>
                <c:pt idx="49">
                  <c:v>3.9</c:v>
                </c:pt>
                <c:pt idx="50">
                  <c:v>4.2</c:v>
                </c:pt>
                <c:pt idx="51">
                  <c:v>5.63</c:v>
                </c:pt>
                <c:pt idx="52">
                  <c:v>4</c:v>
                </c:pt>
                <c:pt idx="53">
                  <c:v>3.83</c:v>
                </c:pt>
                <c:pt idx="54">
                  <c:v>7.3</c:v>
                </c:pt>
                <c:pt idx="55">
                  <c:v>2.74</c:v>
                </c:pt>
                <c:pt idx="56">
                  <c:v>3.3</c:v>
                </c:pt>
                <c:pt idx="57">
                  <c:v>4.0999999999999996</c:v>
                </c:pt>
                <c:pt idx="58">
                  <c:v>2.4</c:v>
                </c:pt>
                <c:pt idx="59">
                  <c:v>2.27</c:v>
                </c:pt>
                <c:pt idx="60">
                  <c:v>4.4000000000000004</c:v>
                </c:pt>
                <c:pt idx="61">
                  <c:v>5.2</c:v>
                </c:pt>
                <c:pt idx="62">
                  <c:v>4</c:v>
                </c:pt>
                <c:pt idx="63">
                  <c:v>5</c:v>
                </c:pt>
                <c:pt idx="64">
                  <c:v>5.0999999999999996</c:v>
                </c:pt>
                <c:pt idx="65">
                  <c:v>4.78</c:v>
                </c:pt>
                <c:pt idx="66">
                  <c:v>4.0999999999999996</c:v>
                </c:pt>
                <c:pt idx="67">
                  <c:v>4.2</c:v>
                </c:pt>
                <c:pt idx="68">
                  <c:v>5.4</c:v>
                </c:pt>
                <c:pt idx="69">
                  <c:v>3.75</c:v>
                </c:pt>
                <c:pt idx="70">
                  <c:v>7</c:v>
                </c:pt>
                <c:pt idx="71">
                  <c:v>3.8</c:v>
                </c:pt>
                <c:pt idx="72">
                  <c:v>5</c:v>
                </c:pt>
                <c:pt idx="73">
                  <c:v>3.1</c:v>
                </c:pt>
                <c:pt idx="74">
                  <c:v>3.84</c:v>
                </c:pt>
                <c:pt idx="75">
                  <c:v>7.3</c:v>
                </c:pt>
                <c:pt idx="76">
                  <c:v>1.9</c:v>
                </c:pt>
                <c:pt idx="77">
                  <c:v>2.56</c:v>
                </c:pt>
                <c:pt idx="78">
                  <c:v>2.65</c:v>
                </c:pt>
                <c:pt idx="79">
                  <c:v>3.5</c:v>
                </c:pt>
                <c:pt idx="80">
                  <c:v>3.5</c:v>
                </c:pt>
                <c:pt idx="81">
                  <c:v>5.12</c:v>
                </c:pt>
                <c:pt idx="82">
                  <c:v>2.4</c:v>
                </c:pt>
                <c:pt idx="83">
                  <c:v>3.8</c:v>
                </c:pt>
                <c:pt idx="84">
                  <c:v>3.3</c:v>
                </c:pt>
                <c:pt idx="85">
                  <c:v>3.6</c:v>
                </c:pt>
                <c:pt idx="86">
                  <c:v>2.5</c:v>
                </c:pt>
                <c:pt idx="87">
                  <c:v>2.5</c:v>
                </c:pt>
                <c:pt idx="88">
                  <c:v>3.6</c:v>
                </c:pt>
                <c:pt idx="89">
                  <c:v>28.9</c:v>
                </c:pt>
                <c:pt idx="90">
                  <c:v>5.4</c:v>
                </c:pt>
                <c:pt idx="91">
                  <c:v>4.8</c:v>
                </c:pt>
                <c:pt idx="92">
                  <c:v>4.55</c:v>
                </c:pt>
                <c:pt idx="93">
                  <c:v>12</c:v>
                </c:pt>
                <c:pt idx="94">
                  <c:v>4.2</c:v>
                </c:pt>
                <c:pt idx="95">
                  <c:v>5.5</c:v>
                </c:pt>
                <c:pt idx="96">
                  <c:v>4.7</c:v>
                </c:pt>
                <c:pt idx="97">
                  <c:v>4.47</c:v>
                </c:pt>
                <c:pt idx="98">
                  <c:v>7</c:v>
                </c:pt>
                <c:pt idx="99">
                  <c:v>2.8</c:v>
                </c:pt>
                <c:pt idx="100">
                  <c:v>5</c:v>
                </c:pt>
                <c:pt idx="101">
                  <c:v>5.5</c:v>
                </c:pt>
                <c:pt idx="102">
                  <c:v>6</c:v>
                </c:pt>
                <c:pt idx="103">
                  <c:v>4.2</c:v>
                </c:pt>
                <c:pt idx="104">
                  <c:v>5</c:v>
                </c:pt>
                <c:pt idx="105">
                  <c:v>5.96</c:v>
                </c:pt>
                <c:pt idx="106">
                  <c:v>5.8</c:v>
                </c:pt>
                <c:pt idx="107">
                  <c:v>5.4</c:v>
                </c:pt>
                <c:pt idx="108">
                  <c:v>5.4</c:v>
                </c:pt>
                <c:pt idx="109">
                  <c:v>5</c:v>
                </c:pt>
                <c:pt idx="110">
                  <c:v>4</c:v>
                </c:pt>
                <c:pt idx="111">
                  <c:v>5</c:v>
                </c:pt>
                <c:pt idx="112">
                  <c:v>4.4000000000000004</c:v>
                </c:pt>
                <c:pt idx="113">
                  <c:v>12</c:v>
                </c:pt>
                <c:pt idx="114">
                  <c:v>7.1</c:v>
                </c:pt>
                <c:pt idx="115">
                  <c:v>13</c:v>
                </c:pt>
                <c:pt idx="116">
                  <c:v>4.5999999999999996</c:v>
                </c:pt>
                <c:pt idx="117">
                  <c:v>3.2</c:v>
                </c:pt>
                <c:pt idx="118">
                  <c:v>4.5599999999999996</c:v>
                </c:pt>
                <c:pt idx="119">
                  <c:v>5.09</c:v>
                </c:pt>
                <c:pt idx="120">
                  <c:v>6.9</c:v>
                </c:pt>
                <c:pt idx="121">
                  <c:v>4.8</c:v>
                </c:pt>
                <c:pt idx="122">
                  <c:v>11</c:v>
                </c:pt>
                <c:pt idx="123">
                  <c:v>8</c:v>
                </c:pt>
                <c:pt idx="124">
                  <c:v>7</c:v>
                </c:pt>
                <c:pt idx="125">
                  <c:v>6.8</c:v>
                </c:pt>
                <c:pt idx="126">
                  <c:v>6.3</c:v>
                </c:pt>
                <c:pt idx="127">
                  <c:v>5.2</c:v>
                </c:pt>
                <c:pt idx="128">
                  <c:v>6.4</c:v>
                </c:pt>
                <c:pt idx="129">
                  <c:v>7</c:v>
                </c:pt>
                <c:pt idx="130">
                  <c:v>7.8</c:v>
                </c:pt>
                <c:pt idx="131">
                  <c:v>5.7</c:v>
                </c:pt>
                <c:pt idx="132">
                  <c:v>5.7</c:v>
                </c:pt>
                <c:pt idx="133">
                  <c:v>6.25</c:v>
                </c:pt>
                <c:pt idx="134">
                  <c:v>4.9000000000000004</c:v>
                </c:pt>
                <c:pt idx="135">
                  <c:v>6</c:v>
                </c:pt>
                <c:pt idx="136">
                  <c:v>6.5</c:v>
                </c:pt>
                <c:pt idx="137">
                  <c:v>6.2</c:v>
                </c:pt>
                <c:pt idx="138">
                  <c:v>7.5</c:v>
                </c:pt>
                <c:pt idx="139">
                  <c:v>7.2</c:v>
                </c:pt>
                <c:pt idx="140">
                  <c:v>7.2</c:v>
                </c:pt>
                <c:pt idx="141">
                  <c:v>14</c:v>
                </c:pt>
                <c:pt idx="142">
                  <c:v>8.4</c:v>
                </c:pt>
                <c:pt idx="143">
                  <c:v>8.4</c:v>
                </c:pt>
                <c:pt idx="144">
                  <c:v>5</c:v>
                </c:pt>
                <c:pt idx="145">
                  <c:v>4</c:v>
                </c:pt>
                <c:pt idx="146">
                  <c:v>4.7</c:v>
                </c:pt>
                <c:pt idx="147">
                  <c:v>15.1</c:v>
                </c:pt>
                <c:pt idx="148">
                  <c:v>0.5</c:v>
                </c:pt>
                <c:pt idx="149">
                  <c:v>8.8000000000000007</c:v>
                </c:pt>
                <c:pt idx="150">
                  <c:v>2.2999999999999998</c:v>
                </c:pt>
                <c:pt idx="151">
                  <c:v>4</c:v>
                </c:pt>
                <c:pt idx="152">
                  <c:v>1.6</c:v>
                </c:pt>
                <c:pt idx="153">
                  <c:v>5.7</c:v>
                </c:pt>
                <c:pt idx="154">
                  <c:v>6.5</c:v>
                </c:pt>
                <c:pt idx="155">
                  <c:v>3.5</c:v>
                </c:pt>
                <c:pt idx="156">
                  <c:v>5.0999999999999996</c:v>
                </c:pt>
                <c:pt idx="157">
                  <c:v>5.5</c:v>
                </c:pt>
                <c:pt idx="158">
                  <c:v>3.2</c:v>
                </c:pt>
                <c:pt idx="159">
                  <c:v>0.37</c:v>
                </c:pt>
                <c:pt idx="160">
                  <c:v>4.8</c:v>
                </c:pt>
                <c:pt idx="161">
                  <c:v>3.6</c:v>
                </c:pt>
                <c:pt idx="162">
                  <c:v>1.95</c:v>
                </c:pt>
                <c:pt idx="163">
                  <c:v>1</c:v>
                </c:pt>
                <c:pt idx="164">
                  <c:v>5.96</c:v>
                </c:pt>
                <c:pt idx="165">
                  <c:v>4.8</c:v>
                </c:pt>
                <c:pt idx="166">
                  <c:v>2.08</c:v>
                </c:pt>
                <c:pt idx="167">
                  <c:v>5.7</c:v>
                </c:pt>
                <c:pt idx="168">
                  <c:v>1.4</c:v>
                </c:pt>
                <c:pt idx="169">
                  <c:v>1.1000000000000001</c:v>
                </c:pt>
                <c:pt idx="170">
                  <c:v>5.3</c:v>
                </c:pt>
                <c:pt idx="171">
                  <c:v>4.8</c:v>
                </c:pt>
                <c:pt idx="172">
                  <c:v>12</c:v>
                </c:pt>
                <c:pt idx="173">
                  <c:v>6.1</c:v>
                </c:pt>
                <c:pt idx="174">
                  <c:v>1.1000000000000001</c:v>
                </c:pt>
                <c:pt idx="175">
                  <c:v>3.77</c:v>
                </c:pt>
                <c:pt idx="176">
                  <c:v>9.68</c:v>
                </c:pt>
                <c:pt idx="177">
                  <c:v>5</c:v>
                </c:pt>
                <c:pt idx="178">
                  <c:v>6.4</c:v>
                </c:pt>
                <c:pt idx="179">
                  <c:v>2.2999999999999998</c:v>
                </c:pt>
                <c:pt idx="180">
                  <c:v>2.4</c:v>
                </c:pt>
                <c:pt idx="181">
                  <c:v>3.6</c:v>
                </c:pt>
                <c:pt idx="182">
                  <c:v>2.27</c:v>
                </c:pt>
                <c:pt idx="183">
                  <c:v>11.6</c:v>
                </c:pt>
                <c:pt idx="184">
                  <c:v>2.4500000000000002</c:v>
                </c:pt>
                <c:pt idx="185">
                  <c:v>4.8</c:v>
                </c:pt>
                <c:pt idx="186">
                  <c:v>1.8</c:v>
                </c:pt>
                <c:pt idx="187">
                  <c:v>0.95</c:v>
                </c:pt>
                <c:pt idx="188">
                  <c:v>8.1999999999999993</c:v>
                </c:pt>
                <c:pt idx="189">
                  <c:v>13.3</c:v>
                </c:pt>
                <c:pt idx="190">
                  <c:v>2.75</c:v>
                </c:pt>
                <c:pt idx="191">
                  <c:v>6.5</c:v>
                </c:pt>
                <c:pt idx="192">
                  <c:v>3.3</c:v>
                </c:pt>
                <c:pt idx="193">
                  <c:v>1.38</c:v>
                </c:pt>
                <c:pt idx="194">
                  <c:v>5.9</c:v>
                </c:pt>
                <c:pt idx="195">
                  <c:v>2.8</c:v>
                </c:pt>
                <c:pt idx="196">
                  <c:v>3</c:v>
                </c:pt>
                <c:pt idx="197">
                  <c:v>4.7</c:v>
                </c:pt>
                <c:pt idx="198">
                  <c:v>5.6</c:v>
                </c:pt>
                <c:pt idx="199">
                  <c:v>2.2999999999999998</c:v>
                </c:pt>
                <c:pt idx="200">
                  <c:v>5.8</c:v>
                </c:pt>
                <c:pt idx="201">
                  <c:v>3.1</c:v>
                </c:pt>
                <c:pt idx="202">
                  <c:v>2.2400000000000002</c:v>
                </c:pt>
                <c:pt idx="203">
                  <c:v>9.3000000000000007</c:v>
                </c:pt>
                <c:pt idx="204">
                  <c:v>4.5</c:v>
                </c:pt>
                <c:pt idx="205">
                  <c:v>5.6</c:v>
                </c:pt>
                <c:pt idx="206">
                  <c:v>11.5</c:v>
                </c:pt>
                <c:pt idx="207">
                  <c:v>2.36</c:v>
                </c:pt>
                <c:pt idx="208">
                  <c:v>3.8</c:v>
                </c:pt>
                <c:pt idx="209">
                  <c:v>4.4000000000000004</c:v>
                </c:pt>
                <c:pt idx="210">
                  <c:v>3.46</c:v>
                </c:pt>
                <c:pt idx="211">
                  <c:v>7</c:v>
                </c:pt>
                <c:pt idx="212">
                  <c:v>6.1</c:v>
                </c:pt>
                <c:pt idx="213">
                  <c:v>3.6</c:v>
                </c:pt>
                <c:pt idx="214">
                  <c:v>1.37</c:v>
                </c:pt>
                <c:pt idx="215">
                  <c:v>3.39</c:v>
                </c:pt>
                <c:pt idx="216">
                  <c:v>5.3</c:v>
                </c:pt>
                <c:pt idx="217">
                  <c:v>6.5</c:v>
                </c:pt>
                <c:pt idx="218">
                  <c:v>3.4</c:v>
                </c:pt>
                <c:pt idx="219">
                  <c:v>4.4000000000000004</c:v>
                </c:pt>
                <c:pt idx="220">
                  <c:v>12</c:v>
                </c:pt>
                <c:pt idx="221">
                  <c:v>1.98</c:v>
                </c:pt>
                <c:pt idx="222">
                  <c:v>2.9</c:v>
                </c:pt>
                <c:pt idx="223">
                  <c:v>4.4000000000000004</c:v>
                </c:pt>
                <c:pt idx="224">
                  <c:v>2.6</c:v>
                </c:pt>
                <c:pt idx="225">
                  <c:v>4.0599999999999996</c:v>
                </c:pt>
                <c:pt idx="226">
                  <c:v>1.9</c:v>
                </c:pt>
                <c:pt idx="227">
                  <c:v>3.3</c:v>
                </c:pt>
                <c:pt idx="228">
                  <c:v>2.5</c:v>
                </c:pt>
                <c:pt idx="229">
                  <c:v>1.5</c:v>
                </c:pt>
                <c:pt idx="230">
                  <c:v>5.7</c:v>
                </c:pt>
                <c:pt idx="231">
                  <c:v>4.45</c:v>
                </c:pt>
                <c:pt idx="232">
                  <c:v>7.5</c:v>
                </c:pt>
                <c:pt idx="233">
                  <c:v>3</c:v>
                </c:pt>
                <c:pt idx="234">
                  <c:v>3</c:v>
                </c:pt>
                <c:pt idx="235">
                  <c:v>5.7</c:v>
                </c:pt>
                <c:pt idx="236">
                  <c:v>1.1599999999999999</c:v>
                </c:pt>
                <c:pt idx="237">
                  <c:v>4.51</c:v>
                </c:pt>
                <c:pt idx="238">
                  <c:v>6.3</c:v>
                </c:pt>
                <c:pt idx="239">
                  <c:v>4.2</c:v>
                </c:pt>
                <c:pt idx="240">
                  <c:v>0.63</c:v>
                </c:pt>
                <c:pt idx="241">
                  <c:v>2.2000000000000002</c:v>
                </c:pt>
                <c:pt idx="242">
                  <c:v>5.0999999999999996</c:v>
                </c:pt>
                <c:pt idx="243">
                  <c:v>2.8</c:v>
                </c:pt>
                <c:pt idx="244">
                  <c:v>3.78</c:v>
                </c:pt>
                <c:pt idx="245">
                  <c:v>1.94</c:v>
                </c:pt>
                <c:pt idx="246">
                  <c:v>3.2</c:v>
                </c:pt>
                <c:pt idx="247">
                  <c:v>7.3</c:v>
                </c:pt>
                <c:pt idx="248">
                  <c:v>3</c:v>
                </c:pt>
                <c:pt idx="249">
                  <c:v>2.4700000000000002</c:v>
                </c:pt>
                <c:pt idx="250">
                  <c:v>6.8</c:v>
                </c:pt>
                <c:pt idx="251">
                  <c:v>2.7</c:v>
                </c:pt>
                <c:pt idx="252">
                  <c:v>4.6100000000000003</c:v>
                </c:pt>
                <c:pt idx="253">
                  <c:v>3.55</c:v>
                </c:pt>
                <c:pt idx="254">
                  <c:v>5</c:v>
                </c:pt>
                <c:pt idx="255">
                  <c:v>3.5</c:v>
                </c:pt>
                <c:pt idx="256">
                  <c:v>4.04</c:v>
                </c:pt>
                <c:pt idx="257">
                  <c:v>3.5</c:v>
                </c:pt>
                <c:pt idx="258">
                  <c:v>3.6</c:v>
                </c:pt>
                <c:pt idx="259">
                  <c:v>5.0999999999999996</c:v>
                </c:pt>
                <c:pt idx="260">
                  <c:v>0.63</c:v>
                </c:pt>
                <c:pt idx="261">
                  <c:v>6.39</c:v>
                </c:pt>
                <c:pt idx="262">
                  <c:v>7.9</c:v>
                </c:pt>
                <c:pt idx="263">
                  <c:v>6.7</c:v>
                </c:pt>
                <c:pt idx="264">
                  <c:v>5.0999999999999996</c:v>
                </c:pt>
                <c:pt idx="265">
                  <c:v>2.2000000000000002</c:v>
                </c:pt>
                <c:pt idx="266">
                  <c:v>3.3</c:v>
                </c:pt>
                <c:pt idx="267">
                  <c:v>2</c:v>
                </c:pt>
                <c:pt idx="268">
                  <c:v>3.4</c:v>
                </c:pt>
                <c:pt idx="269">
                  <c:v>1.3</c:v>
                </c:pt>
                <c:pt idx="270">
                  <c:v>2.8</c:v>
                </c:pt>
                <c:pt idx="271">
                  <c:v>2.8</c:v>
                </c:pt>
                <c:pt idx="272">
                  <c:v>3.2</c:v>
                </c:pt>
                <c:pt idx="273">
                  <c:v>1.46</c:v>
                </c:pt>
                <c:pt idx="274">
                  <c:v>6.5</c:v>
                </c:pt>
                <c:pt idx="275">
                  <c:v>2.5</c:v>
                </c:pt>
                <c:pt idx="276">
                  <c:v>5.33</c:v>
                </c:pt>
                <c:pt idx="277">
                  <c:v>5.9</c:v>
                </c:pt>
                <c:pt idx="278">
                  <c:v>1.1100000000000001</c:v>
                </c:pt>
                <c:pt idx="279">
                  <c:v>4.8</c:v>
                </c:pt>
                <c:pt idx="280">
                  <c:v>2.23</c:v>
                </c:pt>
                <c:pt idx="281">
                  <c:v>2.79</c:v>
                </c:pt>
                <c:pt idx="282">
                  <c:v>1.92</c:v>
                </c:pt>
                <c:pt idx="283">
                  <c:v>6.2</c:v>
                </c:pt>
              </c:numCache>
            </c:numRef>
          </c:yVal>
          <c:smooth val="0"/>
          <c:extLst>
            <c:ext xmlns:c16="http://schemas.microsoft.com/office/drawing/2014/chart" uri="{C3380CC4-5D6E-409C-BE32-E72D297353CC}">
              <c16:uniqueId val="{00000000-54E4-4089-98F2-DB4B9EC56186}"/>
            </c:ext>
          </c:extLst>
        </c:ser>
        <c:ser>
          <c:idx val="1"/>
          <c:order val="1"/>
          <c:tx>
            <c:v>CMOS SOI</c:v>
          </c:tx>
          <c:spPr>
            <a:ln w="25400" cap="rnd">
              <a:noFill/>
              <a:round/>
            </a:ln>
            <a:effectLst/>
          </c:spPr>
          <c:marker>
            <c:symbol val="circle"/>
            <c:size val="9"/>
            <c:spPr>
              <a:solidFill>
                <a:srgbClr val="00B050">
                  <a:alpha val="50000"/>
                </a:srgbClr>
              </a:solidFill>
              <a:ln w="12700">
                <a:solidFill>
                  <a:schemeClr val="tx1"/>
                </a:solidFill>
              </a:ln>
              <a:effectLst/>
            </c:spPr>
          </c:marker>
          <c:xVal>
            <c:numRef>
              <c:f>Plot_NF_Vs_Frequency!$D$3:$D$90</c:f>
              <c:numCache>
                <c:formatCode>General</c:formatCode>
                <c:ptCount val="88"/>
                <c:pt idx="0">
                  <c:v>0.996</c:v>
                </c:pt>
                <c:pt idx="1">
                  <c:v>6</c:v>
                </c:pt>
                <c:pt idx="2">
                  <c:v>8.5</c:v>
                </c:pt>
                <c:pt idx="3">
                  <c:v>17</c:v>
                </c:pt>
                <c:pt idx="4">
                  <c:v>22</c:v>
                </c:pt>
                <c:pt idx="5">
                  <c:v>24</c:v>
                </c:pt>
                <c:pt idx="6">
                  <c:v>25</c:v>
                </c:pt>
                <c:pt idx="7">
                  <c:v>25</c:v>
                </c:pt>
                <c:pt idx="8">
                  <c:v>25</c:v>
                </c:pt>
                <c:pt idx="9">
                  <c:v>25</c:v>
                </c:pt>
                <c:pt idx="10">
                  <c:v>26</c:v>
                </c:pt>
                <c:pt idx="11">
                  <c:v>26</c:v>
                </c:pt>
                <c:pt idx="12">
                  <c:v>26</c:v>
                </c:pt>
                <c:pt idx="13">
                  <c:v>26</c:v>
                </c:pt>
                <c:pt idx="14">
                  <c:v>26</c:v>
                </c:pt>
                <c:pt idx="15">
                  <c:v>27</c:v>
                </c:pt>
                <c:pt idx="16">
                  <c:v>27</c:v>
                </c:pt>
                <c:pt idx="17">
                  <c:v>27.5</c:v>
                </c:pt>
                <c:pt idx="18">
                  <c:v>27.7</c:v>
                </c:pt>
                <c:pt idx="19">
                  <c:v>27.7</c:v>
                </c:pt>
                <c:pt idx="20">
                  <c:v>28</c:v>
                </c:pt>
                <c:pt idx="21">
                  <c:v>28</c:v>
                </c:pt>
                <c:pt idx="22">
                  <c:v>28</c:v>
                </c:pt>
                <c:pt idx="23">
                  <c:v>28</c:v>
                </c:pt>
                <c:pt idx="24">
                  <c:v>28.5</c:v>
                </c:pt>
                <c:pt idx="25">
                  <c:v>29</c:v>
                </c:pt>
                <c:pt idx="26">
                  <c:v>29</c:v>
                </c:pt>
                <c:pt idx="27">
                  <c:v>30.1</c:v>
                </c:pt>
                <c:pt idx="28">
                  <c:v>38</c:v>
                </c:pt>
                <c:pt idx="29">
                  <c:v>38</c:v>
                </c:pt>
                <c:pt idx="30">
                  <c:v>39</c:v>
                </c:pt>
                <c:pt idx="31">
                  <c:v>39</c:v>
                </c:pt>
                <c:pt idx="32">
                  <c:v>39</c:v>
                </c:pt>
                <c:pt idx="33">
                  <c:v>39</c:v>
                </c:pt>
                <c:pt idx="34">
                  <c:v>44</c:v>
                </c:pt>
                <c:pt idx="35">
                  <c:v>60</c:v>
                </c:pt>
                <c:pt idx="36">
                  <c:v>77</c:v>
                </c:pt>
                <c:pt idx="37">
                  <c:v>78</c:v>
                </c:pt>
                <c:pt idx="38">
                  <c:v>81</c:v>
                </c:pt>
                <c:pt idx="39">
                  <c:v>83</c:v>
                </c:pt>
                <c:pt idx="40">
                  <c:v>96</c:v>
                </c:pt>
                <c:pt idx="41">
                  <c:v>105</c:v>
                </c:pt>
                <c:pt idx="42">
                  <c:v>130</c:v>
                </c:pt>
                <c:pt idx="43">
                  <c:v>135</c:v>
                </c:pt>
                <c:pt idx="44">
                  <c:v>140</c:v>
                </c:pt>
                <c:pt idx="45">
                  <c:v>140</c:v>
                </c:pt>
                <c:pt idx="46">
                  <c:v>140</c:v>
                </c:pt>
                <c:pt idx="47">
                  <c:v>140</c:v>
                </c:pt>
                <c:pt idx="48">
                  <c:v>140</c:v>
                </c:pt>
                <c:pt idx="49">
                  <c:v>144</c:v>
                </c:pt>
                <c:pt idx="50">
                  <c:v>144</c:v>
                </c:pt>
                <c:pt idx="51">
                  <c:v>147</c:v>
                </c:pt>
                <c:pt idx="52">
                  <c:v>153</c:v>
                </c:pt>
                <c:pt idx="53">
                  <c:v>6.5</c:v>
                </c:pt>
                <c:pt idx="54">
                  <c:v>3.5</c:v>
                </c:pt>
                <c:pt idx="55">
                  <c:v>3.5</c:v>
                </c:pt>
                <c:pt idx="56">
                  <c:v>8.5</c:v>
                </c:pt>
                <c:pt idx="57">
                  <c:v>28</c:v>
                </c:pt>
                <c:pt idx="58">
                  <c:v>29</c:v>
                </c:pt>
                <c:pt idx="59">
                  <c:v>53</c:v>
                </c:pt>
                <c:pt idx="60">
                  <c:v>60</c:v>
                </c:pt>
                <c:pt idx="61">
                  <c:v>8</c:v>
                </c:pt>
                <c:pt idx="62">
                  <c:v>55</c:v>
                </c:pt>
                <c:pt idx="63">
                  <c:v>2</c:v>
                </c:pt>
                <c:pt idx="64">
                  <c:v>100</c:v>
                </c:pt>
                <c:pt idx="65">
                  <c:v>9</c:v>
                </c:pt>
                <c:pt idx="66">
                  <c:v>29</c:v>
                </c:pt>
                <c:pt idx="67">
                  <c:v>20</c:v>
                </c:pt>
                <c:pt idx="68">
                  <c:v>28</c:v>
                </c:pt>
                <c:pt idx="69">
                  <c:v>19.5</c:v>
                </c:pt>
                <c:pt idx="70">
                  <c:v>24</c:v>
                </c:pt>
                <c:pt idx="71">
                  <c:v>28</c:v>
                </c:pt>
                <c:pt idx="72">
                  <c:v>116</c:v>
                </c:pt>
                <c:pt idx="73">
                  <c:v>140</c:v>
                </c:pt>
                <c:pt idx="74">
                  <c:v>35</c:v>
                </c:pt>
                <c:pt idx="75">
                  <c:v>31</c:v>
                </c:pt>
                <c:pt idx="76">
                  <c:v>27.8</c:v>
                </c:pt>
                <c:pt idx="77">
                  <c:v>8.5</c:v>
                </c:pt>
                <c:pt idx="78">
                  <c:v>138</c:v>
                </c:pt>
                <c:pt idx="79">
                  <c:v>27.3</c:v>
                </c:pt>
                <c:pt idx="80">
                  <c:v>20</c:v>
                </c:pt>
                <c:pt idx="81">
                  <c:v>11.5</c:v>
                </c:pt>
                <c:pt idx="82">
                  <c:v>61</c:v>
                </c:pt>
              </c:numCache>
            </c:numRef>
          </c:xVal>
          <c:yVal>
            <c:numRef>
              <c:f>Plot_NF_Vs_Frequency!$E$3:$E$90</c:f>
              <c:numCache>
                <c:formatCode>General</c:formatCode>
                <c:ptCount val="88"/>
                <c:pt idx="0">
                  <c:v>7.1</c:v>
                </c:pt>
                <c:pt idx="1">
                  <c:v>2.5</c:v>
                </c:pt>
                <c:pt idx="2">
                  <c:v>0.8</c:v>
                </c:pt>
                <c:pt idx="3">
                  <c:v>2</c:v>
                </c:pt>
                <c:pt idx="4">
                  <c:v>3.8</c:v>
                </c:pt>
                <c:pt idx="5">
                  <c:v>4.5</c:v>
                </c:pt>
                <c:pt idx="6">
                  <c:v>2.08</c:v>
                </c:pt>
                <c:pt idx="7">
                  <c:v>2.25</c:v>
                </c:pt>
                <c:pt idx="8">
                  <c:v>5</c:v>
                </c:pt>
                <c:pt idx="9">
                  <c:v>2.5499999999999998</c:v>
                </c:pt>
                <c:pt idx="10">
                  <c:v>2.2000000000000002</c:v>
                </c:pt>
                <c:pt idx="11">
                  <c:v>2</c:v>
                </c:pt>
                <c:pt idx="12">
                  <c:v>2.92</c:v>
                </c:pt>
                <c:pt idx="13">
                  <c:v>2.92</c:v>
                </c:pt>
                <c:pt idx="14">
                  <c:v>5.2</c:v>
                </c:pt>
                <c:pt idx="15">
                  <c:v>1.4</c:v>
                </c:pt>
                <c:pt idx="16">
                  <c:v>5.2</c:v>
                </c:pt>
                <c:pt idx="17">
                  <c:v>2.1</c:v>
                </c:pt>
                <c:pt idx="18">
                  <c:v>2.4</c:v>
                </c:pt>
                <c:pt idx="19">
                  <c:v>2.4</c:v>
                </c:pt>
                <c:pt idx="20">
                  <c:v>1.73</c:v>
                </c:pt>
                <c:pt idx="21">
                  <c:v>4.5</c:v>
                </c:pt>
                <c:pt idx="22">
                  <c:v>3.2</c:v>
                </c:pt>
                <c:pt idx="23">
                  <c:v>5.2</c:v>
                </c:pt>
                <c:pt idx="24">
                  <c:v>2.7</c:v>
                </c:pt>
                <c:pt idx="25">
                  <c:v>3.1</c:v>
                </c:pt>
                <c:pt idx="26">
                  <c:v>4.3</c:v>
                </c:pt>
                <c:pt idx="27">
                  <c:v>5.5</c:v>
                </c:pt>
                <c:pt idx="28">
                  <c:v>2.1</c:v>
                </c:pt>
                <c:pt idx="29">
                  <c:v>4.9000000000000004</c:v>
                </c:pt>
                <c:pt idx="30">
                  <c:v>4.9000000000000004</c:v>
                </c:pt>
                <c:pt idx="31">
                  <c:v>5.5</c:v>
                </c:pt>
                <c:pt idx="32">
                  <c:v>2.5</c:v>
                </c:pt>
                <c:pt idx="33">
                  <c:v>7.9</c:v>
                </c:pt>
                <c:pt idx="34">
                  <c:v>3</c:v>
                </c:pt>
                <c:pt idx="35">
                  <c:v>4.4000000000000004</c:v>
                </c:pt>
                <c:pt idx="36">
                  <c:v>4.5999999999999996</c:v>
                </c:pt>
                <c:pt idx="37">
                  <c:v>4.8</c:v>
                </c:pt>
                <c:pt idx="38">
                  <c:v>5.5</c:v>
                </c:pt>
                <c:pt idx="39">
                  <c:v>5.9</c:v>
                </c:pt>
                <c:pt idx="40">
                  <c:v>5.8</c:v>
                </c:pt>
                <c:pt idx="41">
                  <c:v>5</c:v>
                </c:pt>
                <c:pt idx="42">
                  <c:v>5.8</c:v>
                </c:pt>
                <c:pt idx="43">
                  <c:v>8.5</c:v>
                </c:pt>
                <c:pt idx="44">
                  <c:v>5.2</c:v>
                </c:pt>
                <c:pt idx="45">
                  <c:v>9</c:v>
                </c:pt>
                <c:pt idx="46">
                  <c:v>9.1999999999999993</c:v>
                </c:pt>
                <c:pt idx="47">
                  <c:v>9.1999999999999993</c:v>
                </c:pt>
                <c:pt idx="48">
                  <c:v>10</c:v>
                </c:pt>
                <c:pt idx="49">
                  <c:v>6.4</c:v>
                </c:pt>
                <c:pt idx="50">
                  <c:v>6.4</c:v>
                </c:pt>
                <c:pt idx="51">
                  <c:v>6.5</c:v>
                </c:pt>
                <c:pt idx="52">
                  <c:v>7.5</c:v>
                </c:pt>
                <c:pt idx="53">
                  <c:v>1.6</c:v>
                </c:pt>
                <c:pt idx="54">
                  <c:v>0.85</c:v>
                </c:pt>
                <c:pt idx="55">
                  <c:v>1.3</c:v>
                </c:pt>
                <c:pt idx="56">
                  <c:v>2.46</c:v>
                </c:pt>
                <c:pt idx="57">
                  <c:v>4.4000000000000004</c:v>
                </c:pt>
                <c:pt idx="58">
                  <c:v>2.9</c:v>
                </c:pt>
                <c:pt idx="59">
                  <c:v>3.4</c:v>
                </c:pt>
                <c:pt idx="60">
                  <c:v>5</c:v>
                </c:pt>
                <c:pt idx="61">
                  <c:v>6.6</c:v>
                </c:pt>
                <c:pt idx="62">
                  <c:v>3.3</c:v>
                </c:pt>
                <c:pt idx="63">
                  <c:v>1.2</c:v>
                </c:pt>
                <c:pt idx="64">
                  <c:v>6.5</c:v>
                </c:pt>
                <c:pt idx="65">
                  <c:v>4.8499999999999996</c:v>
                </c:pt>
                <c:pt idx="66">
                  <c:v>5.4</c:v>
                </c:pt>
                <c:pt idx="67">
                  <c:v>2.46</c:v>
                </c:pt>
                <c:pt idx="68">
                  <c:v>6</c:v>
                </c:pt>
                <c:pt idx="69">
                  <c:v>2.42</c:v>
                </c:pt>
                <c:pt idx="70">
                  <c:v>2.75</c:v>
                </c:pt>
                <c:pt idx="71">
                  <c:v>2.2000000000000002</c:v>
                </c:pt>
                <c:pt idx="72">
                  <c:v>6.1</c:v>
                </c:pt>
                <c:pt idx="73">
                  <c:v>7.5</c:v>
                </c:pt>
                <c:pt idx="74">
                  <c:v>2.2999999999999998</c:v>
                </c:pt>
                <c:pt idx="75">
                  <c:v>5.8</c:v>
                </c:pt>
                <c:pt idx="76">
                  <c:v>2.1</c:v>
                </c:pt>
                <c:pt idx="77">
                  <c:v>0.8</c:v>
                </c:pt>
                <c:pt idx="78">
                  <c:v>5.32</c:v>
                </c:pt>
                <c:pt idx="79">
                  <c:v>3.2</c:v>
                </c:pt>
                <c:pt idx="80">
                  <c:v>1.26</c:v>
                </c:pt>
                <c:pt idx="81">
                  <c:v>1.3</c:v>
                </c:pt>
                <c:pt idx="82">
                  <c:v>4.2</c:v>
                </c:pt>
              </c:numCache>
            </c:numRef>
          </c:yVal>
          <c:smooth val="0"/>
          <c:extLst>
            <c:ext xmlns:c16="http://schemas.microsoft.com/office/drawing/2014/chart" uri="{C3380CC4-5D6E-409C-BE32-E72D297353CC}">
              <c16:uniqueId val="{00000001-54E4-4089-98F2-DB4B9EC56186}"/>
            </c:ext>
          </c:extLst>
        </c:ser>
        <c:ser>
          <c:idx val="3"/>
          <c:order val="2"/>
          <c:tx>
            <c:v>SiGe</c:v>
          </c:tx>
          <c:spPr>
            <a:ln w="25400" cap="rnd">
              <a:noFill/>
              <a:round/>
            </a:ln>
            <a:effectLst/>
          </c:spPr>
          <c:marker>
            <c:symbol val="diamond"/>
            <c:size val="11"/>
            <c:spPr>
              <a:solidFill>
                <a:srgbClr val="FF0000">
                  <a:alpha val="40000"/>
                </a:srgbClr>
              </a:solidFill>
              <a:ln w="12700">
                <a:solidFill>
                  <a:schemeClr val="tx1"/>
                </a:solidFill>
              </a:ln>
              <a:effectLst/>
            </c:spPr>
          </c:marker>
          <c:xVal>
            <c:numRef>
              <c:f>Plot_NF_Vs_Frequency!$F$3:$F$100</c:f>
              <c:numCache>
                <c:formatCode>General</c:formatCode>
                <c:ptCount val="98"/>
                <c:pt idx="0">
                  <c:v>4</c:v>
                </c:pt>
                <c:pt idx="1">
                  <c:v>6</c:v>
                </c:pt>
                <c:pt idx="2">
                  <c:v>9</c:v>
                </c:pt>
                <c:pt idx="3">
                  <c:v>20</c:v>
                </c:pt>
                <c:pt idx="4">
                  <c:v>24</c:v>
                </c:pt>
                <c:pt idx="5">
                  <c:v>25</c:v>
                </c:pt>
                <c:pt idx="6">
                  <c:v>27</c:v>
                </c:pt>
                <c:pt idx="7">
                  <c:v>28</c:v>
                </c:pt>
                <c:pt idx="8">
                  <c:v>28</c:v>
                </c:pt>
                <c:pt idx="9">
                  <c:v>28</c:v>
                </c:pt>
                <c:pt idx="10">
                  <c:v>28</c:v>
                </c:pt>
                <c:pt idx="11">
                  <c:v>30</c:v>
                </c:pt>
                <c:pt idx="12">
                  <c:v>30</c:v>
                </c:pt>
                <c:pt idx="13">
                  <c:v>31</c:v>
                </c:pt>
                <c:pt idx="14">
                  <c:v>32.5</c:v>
                </c:pt>
                <c:pt idx="15">
                  <c:v>35</c:v>
                </c:pt>
                <c:pt idx="16">
                  <c:v>35</c:v>
                </c:pt>
                <c:pt idx="17">
                  <c:v>40</c:v>
                </c:pt>
                <c:pt idx="18">
                  <c:v>41</c:v>
                </c:pt>
                <c:pt idx="19">
                  <c:v>41</c:v>
                </c:pt>
                <c:pt idx="20">
                  <c:v>44</c:v>
                </c:pt>
                <c:pt idx="21">
                  <c:v>50</c:v>
                </c:pt>
                <c:pt idx="22">
                  <c:v>51</c:v>
                </c:pt>
                <c:pt idx="23">
                  <c:v>51</c:v>
                </c:pt>
                <c:pt idx="24">
                  <c:v>60</c:v>
                </c:pt>
                <c:pt idx="25">
                  <c:v>60</c:v>
                </c:pt>
                <c:pt idx="26">
                  <c:v>60</c:v>
                </c:pt>
                <c:pt idx="27">
                  <c:v>72</c:v>
                </c:pt>
                <c:pt idx="28">
                  <c:v>73</c:v>
                </c:pt>
                <c:pt idx="29">
                  <c:v>76</c:v>
                </c:pt>
                <c:pt idx="30">
                  <c:v>80</c:v>
                </c:pt>
                <c:pt idx="31">
                  <c:v>80</c:v>
                </c:pt>
                <c:pt idx="32">
                  <c:v>81</c:v>
                </c:pt>
                <c:pt idx="33">
                  <c:v>82</c:v>
                </c:pt>
                <c:pt idx="34">
                  <c:v>83</c:v>
                </c:pt>
                <c:pt idx="35">
                  <c:v>85</c:v>
                </c:pt>
                <c:pt idx="36">
                  <c:v>100</c:v>
                </c:pt>
                <c:pt idx="37">
                  <c:v>105</c:v>
                </c:pt>
                <c:pt idx="38">
                  <c:v>110</c:v>
                </c:pt>
                <c:pt idx="39">
                  <c:v>110</c:v>
                </c:pt>
                <c:pt idx="40">
                  <c:v>110</c:v>
                </c:pt>
                <c:pt idx="41">
                  <c:v>110</c:v>
                </c:pt>
                <c:pt idx="42">
                  <c:v>110</c:v>
                </c:pt>
                <c:pt idx="43">
                  <c:v>110</c:v>
                </c:pt>
                <c:pt idx="44">
                  <c:v>110</c:v>
                </c:pt>
                <c:pt idx="45">
                  <c:v>120</c:v>
                </c:pt>
                <c:pt idx="46">
                  <c:v>120</c:v>
                </c:pt>
                <c:pt idx="47">
                  <c:v>120</c:v>
                </c:pt>
                <c:pt idx="48">
                  <c:v>139.80000000000001</c:v>
                </c:pt>
                <c:pt idx="49">
                  <c:v>140</c:v>
                </c:pt>
                <c:pt idx="50">
                  <c:v>140</c:v>
                </c:pt>
                <c:pt idx="51">
                  <c:v>140</c:v>
                </c:pt>
                <c:pt idx="52">
                  <c:v>150</c:v>
                </c:pt>
                <c:pt idx="53">
                  <c:v>170</c:v>
                </c:pt>
                <c:pt idx="54">
                  <c:v>187.5</c:v>
                </c:pt>
                <c:pt idx="55">
                  <c:v>190</c:v>
                </c:pt>
                <c:pt idx="56">
                  <c:v>217</c:v>
                </c:pt>
                <c:pt idx="57">
                  <c:v>240</c:v>
                </c:pt>
                <c:pt idx="58">
                  <c:v>240</c:v>
                </c:pt>
                <c:pt idx="59">
                  <c:v>260</c:v>
                </c:pt>
                <c:pt idx="60">
                  <c:v>125</c:v>
                </c:pt>
                <c:pt idx="61">
                  <c:v>208</c:v>
                </c:pt>
                <c:pt idx="62">
                  <c:v>29.5</c:v>
                </c:pt>
                <c:pt idx="63">
                  <c:v>50</c:v>
                </c:pt>
                <c:pt idx="64">
                  <c:v>92</c:v>
                </c:pt>
                <c:pt idx="65">
                  <c:v>165</c:v>
                </c:pt>
                <c:pt idx="66">
                  <c:v>15</c:v>
                </c:pt>
                <c:pt idx="67">
                  <c:v>80</c:v>
                </c:pt>
                <c:pt idx="68">
                  <c:v>285</c:v>
                </c:pt>
                <c:pt idx="69">
                  <c:v>11</c:v>
                </c:pt>
                <c:pt idx="70">
                  <c:v>25</c:v>
                </c:pt>
                <c:pt idx="71">
                  <c:v>150</c:v>
                </c:pt>
                <c:pt idx="72">
                  <c:v>20</c:v>
                </c:pt>
                <c:pt idx="73">
                  <c:v>215</c:v>
                </c:pt>
                <c:pt idx="74">
                  <c:v>20</c:v>
                </c:pt>
                <c:pt idx="75">
                  <c:v>195</c:v>
                </c:pt>
                <c:pt idx="76">
                  <c:v>130</c:v>
                </c:pt>
                <c:pt idx="77">
                  <c:v>23</c:v>
                </c:pt>
                <c:pt idx="78">
                  <c:v>25</c:v>
                </c:pt>
                <c:pt idx="79">
                  <c:v>13</c:v>
                </c:pt>
                <c:pt idx="80">
                  <c:v>6</c:v>
                </c:pt>
                <c:pt idx="81">
                  <c:v>5</c:v>
                </c:pt>
                <c:pt idx="82">
                  <c:v>4</c:v>
                </c:pt>
                <c:pt idx="83">
                  <c:v>20</c:v>
                </c:pt>
                <c:pt idx="84">
                  <c:v>1.1299999999999999</c:v>
                </c:pt>
                <c:pt idx="85">
                  <c:v>17.5</c:v>
                </c:pt>
                <c:pt idx="86">
                  <c:v>18.600000000000001</c:v>
                </c:pt>
                <c:pt idx="87">
                  <c:v>18</c:v>
                </c:pt>
                <c:pt idx="88">
                  <c:v>135</c:v>
                </c:pt>
                <c:pt idx="89">
                  <c:v>25</c:v>
                </c:pt>
                <c:pt idx="90">
                  <c:v>195</c:v>
                </c:pt>
                <c:pt idx="91">
                  <c:v>155</c:v>
                </c:pt>
                <c:pt idx="92">
                  <c:v>10</c:v>
                </c:pt>
                <c:pt idx="93">
                  <c:v>150</c:v>
                </c:pt>
                <c:pt idx="94">
                  <c:v>100</c:v>
                </c:pt>
                <c:pt idx="95">
                  <c:v>235</c:v>
                </c:pt>
                <c:pt idx="96">
                  <c:v>237</c:v>
                </c:pt>
                <c:pt idx="97">
                  <c:v>212</c:v>
                </c:pt>
              </c:numCache>
            </c:numRef>
          </c:xVal>
          <c:yVal>
            <c:numRef>
              <c:f>Plot_NF_Vs_Frequency!$G$3:$G$100</c:f>
              <c:numCache>
                <c:formatCode>General</c:formatCode>
                <c:ptCount val="98"/>
                <c:pt idx="0">
                  <c:v>3.8</c:v>
                </c:pt>
                <c:pt idx="1">
                  <c:v>1.1499999999999999</c:v>
                </c:pt>
                <c:pt idx="2">
                  <c:v>13.6</c:v>
                </c:pt>
                <c:pt idx="3">
                  <c:v>2.2999999999999998</c:v>
                </c:pt>
                <c:pt idx="4">
                  <c:v>2.7</c:v>
                </c:pt>
                <c:pt idx="5">
                  <c:v>2</c:v>
                </c:pt>
                <c:pt idx="6">
                  <c:v>5.5</c:v>
                </c:pt>
                <c:pt idx="7">
                  <c:v>4.2</c:v>
                </c:pt>
                <c:pt idx="8">
                  <c:v>4.2</c:v>
                </c:pt>
                <c:pt idx="9">
                  <c:v>2.8</c:v>
                </c:pt>
                <c:pt idx="10">
                  <c:v>3</c:v>
                </c:pt>
                <c:pt idx="11">
                  <c:v>3</c:v>
                </c:pt>
                <c:pt idx="12">
                  <c:v>4.8</c:v>
                </c:pt>
                <c:pt idx="13">
                  <c:v>7.6</c:v>
                </c:pt>
                <c:pt idx="14">
                  <c:v>2.5</c:v>
                </c:pt>
                <c:pt idx="15">
                  <c:v>4.8</c:v>
                </c:pt>
                <c:pt idx="16">
                  <c:v>4.4000000000000004</c:v>
                </c:pt>
                <c:pt idx="17">
                  <c:v>7</c:v>
                </c:pt>
                <c:pt idx="18">
                  <c:v>3.5</c:v>
                </c:pt>
                <c:pt idx="19">
                  <c:v>3.5</c:v>
                </c:pt>
                <c:pt idx="20">
                  <c:v>5.7</c:v>
                </c:pt>
                <c:pt idx="21">
                  <c:v>3.5</c:v>
                </c:pt>
                <c:pt idx="22">
                  <c:v>4.5</c:v>
                </c:pt>
                <c:pt idx="23">
                  <c:v>4.5</c:v>
                </c:pt>
                <c:pt idx="24">
                  <c:v>5.8</c:v>
                </c:pt>
                <c:pt idx="25">
                  <c:v>3.2</c:v>
                </c:pt>
                <c:pt idx="26">
                  <c:v>3.3</c:v>
                </c:pt>
                <c:pt idx="27">
                  <c:v>3.5</c:v>
                </c:pt>
                <c:pt idx="28">
                  <c:v>4.5</c:v>
                </c:pt>
                <c:pt idx="29">
                  <c:v>4.5</c:v>
                </c:pt>
                <c:pt idx="30">
                  <c:v>4.2</c:v>
                </c:pt>
                <c:pt idx="31">
                  <c:v>4.2</c:v>
                </c:pt>
                <c:pt idx="32">
                  <c:v>3.8</c:v>
                </c:pt>
                <c:pt idx="33">
                  <c:v>8</c:v>
                </c:pt>
                <c:pt idx="34">
                  <c:v>5</c:v>
                </c:pt>
                <c:pt idx="35">
                  <c:v>5.5</c:v>
                </c:pt>
                <c:pt idx="36">
                  <c:v>4.8</c:v>
                </c:pt>
                <c:pt idx="37">
                  <c:v>6</c:v>
                </c:pt>
                <c:pt idx="38">
                  <c:v>4</c:v>
                </c:pt>
                <c:pt idx="39">
                  <c:v>4</c:v>
                </c:pt>
                <c:pt idx="40">
                  <c:v>4.5</c:v>
                </c:pt>
                <c:pt idx="41">
                  <c:v>5</c:v>
                </c:pt>
                <c:pt idx="42">
                  <c:v>6</c:v>
                </c:pt>
                <c:pt idx="43">
                  <c:v>6.1</c:v>
                </c:pt>
                <c:pt idx="44">
                  <c:v>11</c:v>
                </c:pt>
                <c:pt idx="45">
                  <c:v>6</c:v>
                </c:pt>
                <c:pt idx="46">
                  <c:v>7.2</c:v>
                </c:pt>
                <c:pt idx="47">
                  <c:v>9</c:v>
                </c:pt>
                <c:pt idx="48">
                  <c:v>7.2</c:v>
                </c:pt>
                <c:pt idx="49">
                  <c:v>5.5</c:v>
                </c:pt>
                <c:pt idx="50">
                  <c:v>6.2</c:v>
                </c:pt>
                <c:pt idx="51">
                  <c:v>5.9</c:v>
                </c:pt>
                <c:pt idx="52">
                  <c:v>8.5</c:v>
                </c:pt>
                <c:pt idx="53">
                  <c:v>7.9</c:v>
                </c:pt>
                <c:pt idx="54">
                  <c:v>8.4</c:v>
                </c:pt>
                <c:pt idx="55">
                  <c:v>6.1</c:v>
                </c:pt>
                <c:pt idx="56">
                  <c:v>9</c:v>
                </c:pt>
                <c:pt idx="57">
                  <c:v>13.2</c:v>
                </c:pt>
                <c:pt idx="58">
                  <c:v>13.2</c:v>
                </c:pt>
                <c:pt idx="59">
                  <c:v>13.5</c:v>
                </c:pt>
                <c:pt idx="60">
                  <c:v>9</c:v>
                </c:pt>
                <c:pt idx="61">
                  <c:v>10.5</c:v>
                </c:pt>
                <c:pt idx="62">
                  <c:v>5</c:v>
                </c:pt>
                <c:pt idx="63">
                  <c:v>4.0599999999999996</c:v>
                </c:pt>
                <c:pt idx="64">
                  <c:v>4</c:v>
                </c:pt>
                <c:pt idx="65">
                  <c:v>9.5</c:v>
                </c:pt>
                <c:pt idx="66">
                  <c:v>2.9</c:v>
                </c:pt>
                <c:pt idx="67">
                  <c:v>4.5999999999999996</c:v>
                </c:pt>
                <c:pt idx="68">
                  <c:v>10.5</c:v>
                </c:pt>
                <c:pt idx="69">
                  <c:v>2</c:v>
                </c:pt>
                <c:pt idx="70">
                  <c:v>3.1</c:v>
                </c:pt>
                <c:pt idx="71">
                  <c:v>5.2</c:v>
                </c:pt>
                <c:pt idx="72">
                  <c:v>2.2999999999999998</c:v>
                </c:pt>
                <c:pt idx="73">
                  <c:v>13.3</c:v>
                </c:pt>
                <c:pt idx="74">
                  <c:v>2.7</c:v>
                </c:pt>
                <c:pt idx="75">
                  <c:v>9</c:v>
                </c:pt>
                <c:pt idx="76">
                  <c:v>6.8</c:v>
                </c:pt>
                <c:pt idx="77">
                  <c:v>3.1</c:v>
                </c:pt>
                <c:pt idx="78">
                  <c:v>2.8</c:v>
                </c:pt>
                <c:pt idx="79">
                  <c:v>3</c:v>
                </c:pt>
                <c:pt idx="80">
                  <c:v>0.8</c:v>
                </c:pt>
                <c:pt idx="81">
                  <c:v>2</c:v>
                </c:pt>
                <c:pt idx="82">
                  <c:v>1.4</c:v>
                </c:pt>
                <c:pt idx="83">
                  <c:v>20.100000000000001</c:v>
                </c:pt>
                <c:pt idx="84">
                  <c:v>1.1299999999999999</c:v>
                </c:pt>
                <c:pt idx="85">
                  <c:v>2.9</c:v>
                </c:pt>
                <c:pt idx="86">
                  <c:v>1.32</c:v>
                </c:pt>
                <c:pt idx="87">
                  <c:v>2.7</c:v>
                </c:pt>
                <c:pt idx="88">
                  <c:v>5.2</c:v>
                </c:pt>
                <c:pt idx="89">
                  <c:v>3.8</c:v>
                </c:pt>
                <c:pt idx="90">
                  <c:v>9</c:v>
                </c:pt>
                <c:pt idx="91">
                  <c:v>8.4</c:v>
                </c:pt>
                <c:pt idx="92">
                  <c:v>2.1</c:v>
                </c:pt>
                <c:pt idx="93">
                  <c:v>5</c:v>
                </c:pt>
                <c:pt idx="94">
                  <c:v>4</c:v>
                </c:pt>
                <c:pt idx="95">
                  <c:v>11</c:v>
                </c:pt>
                <c:pt idx="96">
                  <c:v>11.7</c:v>
                </c:pt>
                <c:pt idx="97">
                  <c:v>9</c:v>
                </c:pt>
              </c:numCache>
            </c:numRef>
          </c:yVal>
          <c:smooth val="0"/>
          <c:extLst>
            <c:ext xmlns:c16="http://schemas.microsoft.com/office/drawing/2014/chart" uri="{C3380CC4-5D6E-409C-BE32-E72D297353CC}">
              <c16:uniqueId val="{00000003-54E4-4089-98F2-DB4B9EC56186}"/>
            </c:ext>
          </c:extLst>
        </c:ser>
        <c:ser>
          <c:idx val="4"/>
          <c:order val="3"/>
          <c:tx>
            <c:v>FinFET</c:v>
          </c:tx>
          <c:spPr>
            <a:ln w="25400" cap="rnd">
              <a:noFill/>
              <a:round/>
            </a:ln>
            <a:effectLst/>
          </c:spPr>
          <c:marker>
            <c:symbol val="triangle"/>
            <c:size val="10"/>
            <c:spPr>
              <a:solidFill>
                <a:srgbClr val="00B0F0">
                  <a:alpha val="50000"/>
                </a:srgbClr>
              </a:solidFill>
              <a:ln w="12700">
                <a:solidFill>
                  <a:schemeClr val="tx1"/>
                </a:solidFill>
              </a:ln>
              <a:effectLst/>
            </c:spPr>
          </c:marker>
          <c:xVal>
            <c:numRef>
              <c:f>Plot_NF_Vs_Frequency!$H$3:$H$8</c:f>
              <c:numCache>
                <c:formatCode>General</c:formatCode>
                <c:ptCount val="6"/>
                <c:pt idx="0">
                  <c:v>82</c:v>
                </c:pt>
                <c:pt idx="1">
                  <c:v>5</c:v>
                </c:pt>
                <c:pt idx="2">
                  <c:v>27</c:v>
                </c:pt>
                <c:pt idx="3">
                  <c:v>190</c:v>
                </c:pt>
                <c:pt idx="4">
                  <c:v>2.5</c:v>
                </c:pt>
                <c:pt idx="5">
                  <c:v>78.5</c:v>
                </c:pt>
              </c:numCache>
            </c:numRef>
          </c:xVal>
          <c:yVal>
            <c:numRef>
              <c:f>Plot_NF_Vs_Frequency!$I$3:$I$8</c:f>
              <c:numCache>
                <c:formatCode>General</c:formatCode>
                <c:ptCount val="6"/>
                <c:pt idx="0">
                  <c:v>17</c:v>
                </c:pt>
                <c:pt idx="1">
                  <c:v>4.3</c:v>
                </c:pt>
                <c:pt idx="2">
                  <c:v>2.2000000000000002</c:v>
                </c:pt>
                <c:pt idx="3">
                  <c:v>8.3000000000000007</c:v>
                </c:pt>
                <c:pt idx="4">
                  <c:v>12.4</c:v>
                </c:pt>
                <c:pt idx="5">
                  <c:v>5.5</c:v>
                </c:pt>
              </c:numCache>
            </c:numRef>
          </c:yVal>
          <c:smooth val="0"/>
          <c:extLst>
            <c:ext xmlns:c16="http://schemas.microsoft.com/office/drawing/2014/chart" uri="{C3380CC4-5D6E-409C-BE32-E72D297353CC}">
              <c16:uniqueId val="{00000005-54E4-4089-98F2-DB4B9EC56186}"/>
            </c:ext>
          </c:extLst>
        </c:ser>
        <c:dLbls>
          <c:showLegendKey val="0"/>
          <c:showVal val="0"/>
          <c:showCatName val="0"/>
          <c:showSerName val="0"/>
          <c:showPercent val="0"/>
          <c:showBubbleSize val="0"/>
        </c:dLbls>
        <c:axId val="691595407"/>
        <c:axId val="691600815"/>
      </c:scatterChart>
      <c:valAx>
        <c:axId val="691595407"/>
        <c:scaling>
          <c:logBase val="10"/>
          <c:orientation val="minMax"/>
          <c:max val="300"/>
          <c:min val="0.1"/>
        </c:scaling>
        <c:delete val="0"/>
        <c:axPos val="b"/>
        <c:majorGridlines>
          <c:spPr>
            <a:ln w="38100" cap="flat" cmpd="sng" algn="ctr">
              <a:solidFill>
                <a:schemeClr val="bg1">
                  <a:lumMod val="95000"/>
                </a:schemeClr>
              </a:solidFill>
              <a:prstDash val="sysDash"/>
              <a:round/>
            </a:ln>
            <a:effectLst/>
          </c:spPr>
        </c:majorGridlines>
        <c:minorGridlines>
          <c:spPr>
            <a:ln w="9525" cap="flat" cmpd="sng" algn="ctr">
              <a:solidFill>
                <a:schemeClr val="tx1">
                  <a:lumMod val="5000"/>
                  <a:lumOff val="95000"/>
                </a:schemeClr>
              </a:solidFill>
              <a:prstDash val="sysDash"/>
              <a:round/>
            </a:ln>
            <a:effectLst/>
          </c:spPr>
        </c:minorGridlines>
        <c:title>
          <c:tx>
            <c:rich>
              <a:bodyPr rot="0" spcFirstLastPara="1" vertOverflow="ellipsis" vert="horz" wrap="square" anchor="ctr" anchorCtr="1"/>
              <a:lstStyle/>
              <a:p>
                <a:pPr>
                  <a:defRPr sz="1500" b="1" i="0" u="none" strike="noStrike" kern="1200" baseline="0">
                    <a:solidFill>
                      <a:sysClr val="windowText" lastClr="000000"/>
                    </a:solidFill>
                    <a:latin typeface="Arial Narrow" panose="020B0606020202030204" pitchFamily="34" charset="0"/>
                    <a:ea typeface="+mn-ea"/>
                    <a:cs typeface="+mn-cs"/>
                  </a:defRPr>
                </a:pPr>
                <a:r>
                  <a:rPr lang="en-US" sz="1500"/>
                  <a:t>Frequency (GHz)</a:t>
                </a:r>
              </a:p>
            </c:rich>
          </c:tx>
          <c:overlay val="0"/>
          <c:spPr>
            <a:noFill/>
            <a:ln>
              <a:noFill/>
            </a:ln>
            <a:effectLst/>
          </c:spPr>
          <c:txPr>
            <a:bodyPr rot="0" spcFirstLastPara="1" vertOverflow="ellipsis" vert="horz" wrap="square" anchor="ctr" anchorCtr="1"/>
            <a:lstStyle/>
            <a:p>
              <a:pPr>
                <a:defRPr sz="1500" b="1" i="0" u="none" strike="noStrike" kern="1200" baseline="0">
                  <a:solidFill>
                    <a:sysClr val="windowText" lastClr="000000"/>
                  </a:solidFill>
                  <a:latin typeface="Arial Narrow" panose="020B0606020202030204" pitchFamily="34" charset="0"/>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500" b="1" i="0" u="none" strike="noStrike" kern="1200" baseline="0">
                <a:solidFill>
                  <a:sysClr val="windowText" lastClr="000000"/>
                </a:solidFill>
                <a:latin typeface="Arial Narrow" panose="020B0606020202030204" pitchFamily="34" charset="0"/>
                <a:ea typeface="+mn-ea"/>
                <a:cs typeface="+mn-cs"/>
              </a:defRPr>
            </a:pPr>
            <a:endParaRPr lang="en-US"/>
          </a:p>
        </c:txPr>
        <c:crossAx val="691600815"/>
        <c:crosses val="autoZero"/>
        <c:crossBetween val="midCat"/>
      </c:valAx>
      <c:valAx>
        <c:axId val="691600815"/>
        <c:scaling>
          <c:orientation val="minMax"/>
          <c:max val="20"/>
        </c:scaling>
        <c:delete val="0"/>
        <c:axPos val="l"/>
        <c:majorGridlines>
          <c:spPr>
            <a:ln w="38100" cap="flat" cmpd="sng" algn="ctr">
              <a:solidFill>
                <a:schemeClr val="bg1">
                  <a:lumMod val="95000"/>
                </a:schemeClr>
              </a:solidFill>
              <a:prstDash val="sysDash"/>
              <a:round/>
            </a:ln>
            <a:effectLst/>
          </c:spPr>
        </c:majorGridlines>
        <c:minorGridlines>
          <c:spPr>
            <a:ln w="9525" cap="flat" cmpd="sng" algn="ctr">
              <a:solidFill>
                <a:schemeClr val="tx1">
                  <a:lumMod val="5000"/>
                  <a:lumOff val="95000"/>
                </a:schemeClr>
              </a:solidFill>
              <a:prstDash val="sysDash"/>
              <a:round/>
            </a:ln>
            <a:effectLst/>
          </c:spPr>
        </c:minorGridlines>
        <c:title>
          <c:tx>
            <c:rich>
              <a:bodyPr rot="-5400000" spcFirstLastPara="1" vertOverflow="ellipsis" vert="horz" wrap="square" anchor="ctr" anchorCtr="1"/>
              <a:lstStyle/>
              <a:p>
                <a:pPr>
                  <a:defRPr sz="1500" b="1" i="0" u="none" strike="noStrike" kern="1200" baseline="0">
                    <a:solidFill>
                      <a:sysClr val="windowText" lastClr="000000"/>
                    </a:solidFill>
                    <a:latin typeface="Arial Narrow" panose="020B0606020202030204" pitchFamily="34" charset="0"/>
                    <a:ea typeface="+mn-ea"/>
                    <a:cs typeface="+mn-cs"/>
                  </a:defRPr>
                </a:pPr>
                <a:r>
                  <a:rPr lang="en-US" sz="1500"/>
                  <a:t>Noise Figure (dB)</a:t>
                </a:r>
              </a:p>
            </c:rich>
          </c:tx>
          <c:overlay val="0"/>
          <c:spPr>
            <a:noFill/>
            <a:ln>
              <a:noFill/>
            </a:ln>
            <a:effectLst/>
          </c:spPr>
          <c:txPr>
            <a:bodyPr rot="-5400000" spcFirstLastPara="1" vertOverflow="ellipsis" vert="horz" wrap="square" anchor="ctr" anchorCtr="1"/>
            <a:lstStyle/>
            <a:p>
              <a:pPr>
                <a:defRPr sz="1500" b="1" i="0" u="none" strike="noStrike" kern="1200" baseline="0">
                  <a:solidFill>
                    <a:sysClr val="windowText" lastClr="000000"/>
                  </a:solidFill>
                  <a:latin typeface="Arial Narrow" panose="020B0606020202030204" pitchFamily="34" charset="0"/>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500" b="1" i="0" u="none" strike="noStrike" kern="1200" baseline="0">
                <a:solidFill>
                  <a:sysClr val="windowText" lastClr="000000"/>
                </a:solidFill>
                <a:latin typeface="Arial Narrow" panose="020B0606020202030204" pitchFamily="34" charset="0"/>
                <a:ea typeface="+mn-ea"/>
                <a:cs typeface="+mn-cs"/>
              </a:defRPr>
            </a:pPr>
            <a:endParaRPr lang="en-US"/>
          </a:p>
        </c:txPr>
        <c:crossAx val="691595407"/>
        <c:crossesAt val="0.1"/>
        <c:crossBetween val="midCat"/>
      </c:valAx>
      <c:spPr>
        <a:noFill/>
        <a:ln w="12700">
          <a:solidFill>
            <a:schemeClr val="tx1"/>
          </a:solidFill>
        </a:ln>
        <a:effectLst/>
      </c:spPr>
    </c:plotArea>
    <c:legend>
      <c:legendPos val="t"/>
      <c:layout>
        <c:manualLayout>
          <c:xMode val="edge"/>
          <c:yMode val="edge"/>
          <c:x val="0.16485352506898104"/>
          <c:y val="6.5948521054284046E-2"/>
          <c:w val="0.74342450148539774"/>
          <c:h val="6.3617799979721709E-2"/>
        </c:manualLayout>
      </c:layout>
      <c:overlay val="0"/>
      <c:spPr>
        <a:solidFill>
          <a:schemeClr val="bg1"/>
        </a:solidFill>
        <a:ln w="19050">
          <a:solidFill>
            <a:schemeClr val="tx1"/>
          </a:solidFill>
        </a:ln>
        <a:effectLst/>
      </c:spPr>
      <c:txPr>
        <a:bodyPr rot="0" spcFirstLastPara="1" vertOverflow="ellipsis" vert="horz" wrap="square" anchor="ctr" anchorCtr="1"/>
        <a:lstStyle/>
        <a:p>
          <a:pPr>
            <a:defRPr sz="1500" b="1" i="0" u="none" strike="noStrike" kern="1200" baseline="0">
              <a:solidFill>
                <a:sysClr val="windowText" lastClr="000000"/>
              </a:solidFill>
              <a:latin typeface="Arial Narrow" panose="020B0606020202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b="1">
          <a:solidFill>
            <a:sysClr val="windowText" lastClr="000000"/>
          </a:solidFill>
          <a:latin typeface="Arial Narrow" panose="020B060602020203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75559952877227"/>
          <c:y val="5.185814350866727E-2"/>
          <c:w val="0.85924962546493178"/>
          <c:h val="0.78145903767959102"/>
        </c:manualLayout>
      </c:layout>
      <c:scatterChart>
        <c:scatterStyle val="lineMarker"/>
        <c:varyColors val="0"/>
        <c:ser>
          <c:idx val="0"/>
          <c:order val="0"/>
          <c:tx>
            <c:v>CMOS Bulk</c:v>
          </c:tx>
          <c:spPr>
            <a:ln w="12700" cap="rnd">
              <a:noFill/>
              <a:round/>
            </a:ln>
            <a:effectLst/>
          </c:spPr>
          <c:marker>
            <c:symbol val="square"/>
            <c:size val="8"/>
            <c:spPr>
              <a:solidFill>
                <a:schemeClr val="accent1">
                  <a:lumMod val="75000"/>
                  <a:alpha val="40000"/>
                </a:schemeClr>
              </a:solidFill>
              <a:ln w="12700">
                <a:solidFill>
                  <a:schemeClr val="tx1"/>
                </a:solidFill>
              </a:ln>
              <a:effectLst/>
            </c:spPr>
          </c:marker>
          <c:xVal>
            <c:numRef>
              <c:f>Plot_NF_Vs_Frequency!$B$3:$B$286</c:f>
              <c:numCache>
                <c:formatCode>General</c:formatCode>
                <c:ptCount val="284"/>
                <c:pt idx="0">
                  <c:v>0.1</c:v>
                </c:pt>
                <c:pt idx="1">
                  <c:v>0.3</c:v>
                </c:pt>
                <c:pt idx="2">
                  <c:v>0.433</c:v>
                </c:pt>
                <c:pt idx="3">
                  <c:v>0.5</c:v>
                </c:pt>
                <c:pt idx="4">
                  <c:v>0.5</c:v>
                </c:pt>
                <c:pt idx="5">
                  <c:v>0.6</c:v>
                </c:pt>
                <c:pt idx="6">
                  <c:v>0.63700000000000001</c:v>
                </c:pt>
                <c:pt idx="7">
                  <c:v>0.8</c:v>
                </c:pt>
                <c:pt idx="8">
                  <c:v>1</c:v>
                </c:pt>
                <c:pt idx="9">
                  <c:v>1</c:v>
                </c:pt>
                <c:pt idx="10">
                  <c:v>1</c:v>
                </c:pt>
                <c:pt idx="11">
                  <c:v>1.2</c:v>
                </c:pt>
                <c:pt idx="12">
                  <c:v>1.4</c:v>
                </c:pt>
                <c:pt idx="13">
                  <c:v>1.7</c:v>
                </c:pt>
                <c:pt idx="14">
                  <c:v>2</c:v>
                </c:pt>
                <c:pt idx="15">
                  <c:v>2</c:v>
                </c:pt>
                <c:pt idx="16">
                  <c:v>2</c:v>
                </c:pt>
                <c:pt idx="17">
                  <c:v>2</c:v>
                </c:pt>
                <c:pt idx="18">
                  <c:v>2.14</c:v>
                </c:pt>
                <c:pt idx="19">
                  <c:v>2.4</c:v>
                </c:pt>
                <c:pt idx="20">
                  <c:v>2.4</c:v>
                </c:pt>
                <c:pt idx="21">
                  <c:v>2.4</c:v>
                </c:pt>
                <c:pt idx="22">
                  <c:v>2.42</c:v>
                </c:pt>
                <c:pt idx="23">
                  <c:v>2.5</c:v>
                </c:pt>
                <c:pt idx="24">
                  <c:v>3</c:v>
                </c:pt>
                <c:pt idx="25">
                  <c:v>3.5</c:v>
                </c:pt>
                <c:pt idx="26">
                  <c:v>3.8</c:v>
                </c:pt>
                <c:pt idx="27">
                  <c:v>4</c:v>
                </c:pt>
                <c:pt idx="28">
                  <c:v>4.21</c:v>
                </c:pt>
                <c:pt idx="29">
                  <c:v>4.4000000000000004</c:v>
                </c:pt>
                <c:pt idx="30">
                  <c:v>5</c:v>
                </c:pt>
                <c:pt idx="31">
                  <c:v>5.2</c:v>
                </c:pt>
                <c:pt idx="32">
                  <c:v>5.3</c:v>
                </c:pt>
                <c:pt idx="33">
                  <c:v>7.2</c:v>
                </c:pt>
                <c:pt idx="34">
                  <c:v>10</c:v>
                </c:pt>
                <c:pt idx="35">
                  <c:v>10</c:v>
                </c:pt>
                <c:pt idx="36">
                  <c:v>10</c:v>
                </c:pt>
                <c:pt idx="37">
                  <c:v>11</c:v>
                </c:pt>
                <c:pt idx="38">
                  <c:v>15</c:v>
                </c:pt>
                <c:pt idx="39">
                  <c:v>16</c:v>
                </c:pt>
                <c:pt idx="40">
                  <c:v>19</c:v>
                </c:pt>
                <c:pt idx="41">
                  <c:v>19</c:v>
                </c:pt>
                <c:pt idx="42">
                  <c:v>20</c:v>
                </c:pt>
                <c:pt idx="43">
                  <c:v>20</c:v>
                </c:pt>
                <c:pt idx="44">
                  <c:v>20</c:v>
                </c:pt>
                <c:pt idx="45">
                  <c:v>20</c:v>
                </c:pt>
                <c:pt idx="46">
                  <c:v>20</c:v>
                </c:pt>
                <c:pt idx="47">
                  <c:v>20</c:v>
                </c:pt>
                <c:pt idx="48">
                  <c:v>20.5</c:v>
                </c:pt>
                <c:pt idx="49">
                  <c:v>21</c:v>
                </c:pt>
                <c:pt idx="50">
                  <c:v>21</c:v>
                </c:pt>
                <c:pt idx="51">
                  <c:v>24</c:v>
                </c:pt>
                <c:pt idx="52">
                  <c:v>24</c:v>
                </c:pt>
                <c:pt idx="53">
                  <c:v>24.5</c:v>
                </c:pt>
                <c:pt idx="54">
                  <c:v>24.8</c:v>
                </c:pt>
                <c:pt idx="55">
                  <c:v>25</c:v>
                </c:pt>
                <c:pt idx="56">
                  <c:v>25</c:v>
                </c:pt>
                <c:pt idx="57">
                  <c:v>25</c:v>
                </c:pt>
                <c:pt idx="58">
                  <c:v>25</c:v>
                </c:pt>
                <c:pt idx="59">
                  <c:v>26</c:v>
                </c:pt>
                <c:pt idx="60">
                  <c:v>26</c:v>
                </c:pt>
                <c:pt idx="61">
                  <c:v>26</c:v>
                </c:pt>
                <c:pt idx="62">
                  <c:v>26</c:v>
                </c:pt>
                <c:pt idx="63">
                  <c:v>26</c:v>
                </c:pt>
                <c:pt idx="64">
                  <c:v>26</c:v>
                </c:pt>
                <c:pt idx="65">
                  <c:v>27</c:v>
                </c:pt>
                <c:pt idx="66">
                  <c:v>28</c:v>
                </c:pt>
                <c:pt idx="67">
                  <c:v>28</c:v>
                </c:pt>
                <c:pt idx="68">
                  <c:v>28</c:v>
                </c:pt>
                <c:pt idx="69">
                  <c:v>28</c:v>
                </c:pt>
                <c:pt idx="70">
                  <c:v>28</c:v>
                </c:pt>
                <c:pt idx="71">
                  <c:v>28</c:v>
                </c:pt>
                <c:pt idx="72">
                  <c:v>28</c:v>
                </c:pt>
                <c:pt idx="73">
                  <c:v>28</c:v>
                </c:pt>
                <c:pt idx="74">
                  <c:v>28</c:v>
                </c:pt>
                <c:pt idx="75">
                  <c:v>28</c:v>
                </c:pt>
                <c:pt idx="76">
                  <c:v>29.1</c:v>
                </c:pt>
                <c:pt idx="77">
                  <c:v>30</c:v>
                </c:pt>
                <c:pt idx="78">
                  <c:v>30</c:v>
                </c:pt>
                <c:pt idx="79">
                  <c:v>30</c:v>
                </c:pt>
                <c:pt idx="80">
                  <c:v>30</c:v>
                </c:pt>
                <c:pt idx="81">
                  <c:v>30</c:v>
                </c:pt>
                <c:pt idx="82">
                  <c:v>30</c:v>
                </c:pt>
                <c:pt idx="83">
                  <c:v>30</c:v>
                </c:pt>
                <c:pt idx="84">
                  <c:v>31</c:v>
                </c:pt>
                <c:pt idx="85">
                  <c:v>31</c:v>
                </c:pt>
                <c:pt idx="86">
                  <c:v>31</c:v>
                </c:pt>
                <c:pt idx="87">
                  <c:v>31</c:v>
                </c:pt>
                <c:pt idx="88">
                  <c:v>31</c:v>
                </c:pt>
                <c:pt idx="89">
                  <c:v>31</c:v>
                </c:pt>
                <c:pt idx="90">
                  <c:v>32</c:v>
                </c:pt>
                <c:pt idx="91">
                  <c:v>32</c:v>
                </c:pt>
                <c:pt idx="92">
                  <c:v>33</c:v>
                </c:pt>
                <c:pt idx="93">
                  <c:v>34</c:v>
                </c:pt>
                <c:pt idx="94">
                  <c:v>35</c:v>
                </c:pt>
                <c:pt idx="95">
                  <c:v>35</c:v>
                </c:pt>
                <c:pt idx="96">
                  <c:v>36</c:v>
                </c:pt>
                <c:pt idx="97">
                  <c:v>38</c:v>
                </c:pt>
                <c:pt idx="98">
                  <c:v>39</c:v>
                </c:pt>
                <c:pt idx="99">
                  <c:v>39</c:v>
                </c:pt>
                <c:pt idx="100">
                  <c:v>40</c:v>
                </c:pt>
                <c:pt idx="101">
                  <c:v>40</c:v>
                </c:pt>
                <c:pt idx="102">
                  <c:v>40</c:v>
                </c:pt>
                <c:pt idx="103">
                  <c:v>40</c:v>
                </c:pt>
                <c:pt idx="104">
                  <c:v>41</c:v>
                </c:pt>
                <c:pt idx="105">
                  <c:v>50</c:v>
                </c:pt>
                <c:pt idx="106">
                  <c:v>53</c:v>
                </c:pt>
                <c:pt idx="107">
                  <c:v>55</c:v>
                </c:pt>
                <c:pt idx="108">
                  <c:v>56</c:v>
                </c:pt>
                <c:pt idx="109">
                  <c:v>57</c:v>
                </c:pt>
                <c:pt idx="110">
                  <c:v>60</c:v>
                </c:pt>
                <c:pt idx="111">
                  <c:v>60</c:v>
                </c:pt>
                <c:pt idx="112">
                  <c:v>60</c:v>
                </c:pt>
                <c:pt idx="113">
                  <c:v>60.5</c:v>
                </c:pt>
                <c:pt idx="114">
                  <c:v>61</c:v>
                </c:pt>
                <c:pt idx="115">
                  <c:v>72</c:v>
                </c:pt>
                <c:pt idx="116">
                  <c:v>73</c:v>
                </c:pt>
                <c:pt idx="117">
                  <c:v>74</c:v>
                </c:pt>
                <c:pt idx="118">
                  <c:v>74</c:v>
                </c:pt>
                <c:pt idx="119">
                  <c:v>75</c:v>
                </c:pt>
                <c:pt idx="120">
                  <c:v>76</c:v>
                </c:pt>
                <c:pt idx="121">
                  <c:v>76</c:v>
                </c:pt>
                <c:pt idx="122">
                  <c:v>78</c:v>
                </c:pt>
                <c:pt idx="123">
                  <c:v>80</c:v>
                </c:pt>
                <c:pt idx="124">
                  <c:v>80</c:v>
                </c:pt>
                <c:pt idx="125">
                  <c:v>88</c:v>
                </c:pt>
                <c:pt idx="126">
                  <c:v>88</c:v>
                </c:pt>
                <c:pt idx="127">
                  <c:v>89</c:v>
                </c:pt>
                <c:pt idx="128">
                  <c:v>89.5</c:v>
                </c:pt>
                <c:pt idx="129">
                  <c:v>90</c:v>
                </c:pt>
                <c:pt idx="130">
                  <c:v>90</c:v>
                </c:pt>
                <c:pt idx="131">
                  <c:v>90</c:v>
                </c:pt>
                <c:pt idx="132">
                  <c:v>91</c:v>
                </c:pt>
                <c:pt idx="133">
                  <c:v>94</c:v>
                </c:pt>
                <c:pt idx="134">
                  <c:v>95.6</c:v>
                </c:pt>
                <c:pt idx="135">
                  <c:v>96</c:v>
                </c:pt>
                <c:pt idx="136">
                  <c:v>97</c:v>
                </c:pt>
                <c:pt idx="137">
                  <c:v>99</c:v>
                </c:pt>
                <c:pt idx="138">
                  <c:v>100</c:v>
                </c:pt>
                <c:pt idx="139">
                  <c:v>104</c:v>
                </c:pt>
                <c:pt idx="140">
                  <c:v>104</c:v>
                </c:pt>
                <c:pt idx="141">
                  <c:v>106</c:v>
                </c:pt>
                <c:pt idx="142">
                  <c:v>115</c:v>
                </c:pt>
                <c:pt idx="143">
                  <c:v>115</c:v>
                </c:pt>
                <c:pt idx="144">
                  <c:v>123</c:v>
                </c:pt>
                <c:pt idx="145">
                  <c:v>140</c:v>
                </c:pt>
                <c:pt idx="146">
                  <c:v>148</c:v>
                </c:pt>
                <c:pt idx="147">
                  <c:v>180</c:v>
                </c:pt>
                <c:pt idx="148">
                  <c:v>8.5</c:v>
                </c:pt>
                <c:pt idx="149">
                  <c:v>140</c:v>
                </c:pt>
                <c:pt idx="150">
                  <c:v>13.5</c:v>
                </c:pt>
                <c:pt idx="151">
                  <c:v>4</c:v>
                </c:pt>
                <c:pt idx="152">
                  <c:v>5</c:v>
                </c:pt>
                <c:pt idx="153">
                  <c:v>150</c:v>
                </c:pt>
                <c:pt idx="154">
                  <c:v>27</c:v>
                </c:pt>
                <c:pt idx="155">
                  <c:v>6.5</c:v>
                </c:pt>
                <c:pt idx="156">
                  <c:v>73</c:v>
                </c:pt>
                <c:pt idx="157">
                  <c:v>25</c:v>
                </c:pt>
                <c:pt idx="158">
                  <c:v>120</c:v>
                </c:pt>
                <c:pt idx="159">
                  <c:v>2</c:v>
                </c:pt>
                <c:pt idx="160">
                  <c:v>38</c:v>
                </c:pt>
                <c:pt idx="161">
                  <c:v>26</c:v>
                </c:pt>
                <c:pt idx="162">
                  <c:v>1</c:v>
                </c:pt>
                <c:pt idx="163">
                  <c:v>10</c:v>
                </c:pt>
                <c:pt idx="164">
                  <c:v>70</c:v>
                </c:pt>
                <c:pt idx="165">
                  <c:v>30.5</c:v>
                </c:pt>
                <c:pt idx="166">
                  <c:v>0.9</c:v>
                </c:pt>
                <c:pt idx="167">
                  <c:v>71.5</c:v>
                </c:pt>
                <c:pt idx="168">
                  <c:v>2.5</c:v>
                </c:pt>
                <c:pt idx="169">
                  <c:v>2.62</c:v>
                </c:pt>
                <c:pt idx="170">
                  <c:v>31</c:v>
                </c:pt>
                <c:pt idx="171">
                  <c:v>6.7</c:v>
                </c:pt>
                <c:pt idx="172">
                  <c:v>140</c:v>
                </c:pt>
                <c:pt idx="173">
                  <c:v>146</c:v>
                </c:pt>
                <c:pt idx="174">
                  <c:v>0.75</c:v>
                </c:pt>
                <c:pt idx="175">
                  <c:v>82.2</c:v>
                </c:pt>
                <c:pt idx="176">
                  <c:v>216</c:v>
                </c:pt>
                <c:pt idx="177">
                  <c:v>123</c:v>
                </c:pt>
                <c:pt idx="178">
                  <c:v>61</c:v>
                </c:pt>
                <c:pt idx="179">
                  <c:v>21</c:v>
                </c:pt>
                <c:pt idx="180">
                  <c:v>3</c:v>
                </c:pt>
                <c:pt idx="181">
                  <c:v>1.8049999999999999</c:v>
                </c:pt>
                <c:pt idx="182">
                  <c:v>2.62</c:v>
                </c:pt>
                <c:pt idx="183">
                  <c:v>0.5</c:v>
                </c:pt>
                <c:pt idx="184">
                  <c:v>12</c:v>
                </c:pt>
                <c:pt idx="185">
                  <c:v>73</c:v>
                </c:pt>
                <c:pt idx="186">
                  <c:v>1.5</c:v>
                </c:pt>
                <c:pt idx="187">
                  <c:v>13</c:v>
                </c:pt>
                <c:pt idx="188">
                  <c:v>132</c:v>
                </c:pt>
                <c:pt idx="189">
                  <c:v>146</c:v>
                </c:pt>
                <c:pt idx="190">
                  <c:v>2.5</c:v>
                </c:pt>
                <c:pt idx="191">
                  <c:v>50</c:v>
                </c:pt>
                <c:pt idx="192">
                  <c:v>2.5</c:v>
                </c:pt>
                <c:pt idx="193">
                  <c:v>0.9</c:v>
                </c:pt>
                <c:pt idx="194">
                  <c:v>20</c:v>
                </c:pt>
                <c:pt idx="195">
                  <c:v>7</c:v>
                </c:pt>
                <c:pt idx="196">
                  <c:v>1.93</c:v>
                </c:pt>
                <c:pt idx="197">
                  <c:v>129</c:v>
                </c:pt>
                <c:pt idx="198">
                  <c:v>118</c:v>
                </c:pt>
                <c:pt idx="199">
                  <c:v>24</c:v>
                </c:pt>
                <c:pt idx="200">
                  <c:v>123</c:v>
                </c:pt>
                <c:pt idx="201">
                  <c:v>30</c:v>
                </c:pt>
                <c:pt idx="202">
                  <c:v>4</c:v>
                </c:pt>
                <c:pt idx="203">
                  <c:v>141</c:v>
                </c:pt>
                <c:pt idx="204">
                  <c:v>29</c:v>
                </c:pt>
                <c:pt idx="205">
                  <c:v>95</c:v>
                </c:pt>
                <c:pt idx="206">
                  <c:v>240</c:v>
                </c:pt>
                <c:pt idx="207">
                  <c:v>0.51</c:v>
                </c:pt>
                <c:pt idx="208">
                  <c:v>5</c:v>
                </c:pt>
                <c:pt idx="209">
                  <c:v>10.199999999999999</c:v>
                </c:pt>
                <c:pt idx="210">
                  <c:v>2.6</c:v>
                </c:pt>
                <c:pt idx="211">
                  <c:v>85</c:v>
                </c:pt>
                <c:pt idx="212">
                  <c:v>146</c:v>
                </c:pt>
                <c:pt idx="213">
                  <c:v>30</c:v>
                </c:pt>
                <c:pt idx="214">
                  <c:v>0.5</c:v>
                </c:pt>
                <c:pt idx="215">
                  <c:v>24</c:v>
                </c:pt>
                <c:pt idx="216">
                  <c:v>31</c:v>
                </c:pt>
                <c:pt idx="217">
                  <c:v>27</c:v>
                </c:pt>
                <c:pt idx="218">
                  <c:v>20</c:v>
                </c:pt>
                <c:pt idx="219">
                  <c:v>52.5</c:v>
                </c:pt>
                <c:pt idx="220">
                  <c:v>133.5</c:v>
                </c:pt>
                <c:pt idx="221">
                  <c:v>25</c:v>
                </c:pt>
                <c:pt idx="222">
                  <c:v>2</c:v>
                </c:pt>
                <c:pt idx="223">
                  <c:v>2.62</c:v>
                </c:pt>
                <c:pt idx="224">
                  <c:v>11.5</c:v>
                </c:pt>
                <c:pt idx="225">
                  <c:v>25</c:v>
                </c:pt>
                <c:pt idx="226">
                  <c:v>29.1</c:v>
                </c:pt>
                <c:pt idx="227">
                  <c:v>3.5</c:v>
                </c:pt>
                <c:pt idx="228">
                  <c:v>32</c:v>
                </c:pt>
                <c:pt idx="229">
                  <c:v>2.7</c:v>
                </c:pt>
                <c:pt idx="230">
                  <c:v>14.5</c:v>
                </c:pt>
                <c:pt idx="231">
                  <c:v>2</c:v>
                </c:pt>
                <c:pt idx="232">
                  <c:v>3</c:v>
                </c:pt>
                <c:pt idx="233">
                  <c:v>24</c:v>
                </c:pt>
                <c:pt idx="234">
                  <c:v>31</c:v>
                </c:pt>
                <c:pt idx="235">
                  <c:v>24</c:v>
                </c:pt>
                <c:pt idx="236">
                  <c:v>0.4</c:v>
                </c:pt>
                <c:pt idx="237">
                  <c:v>2.35</c:v>
                </c:pt>
                <c:pt idx="238">
                  <c:v>53</c:v>
                </c:pt>
                <c:pt idx="239">
                  <c:v>63</c:v>
                </c:pt>
                <c:pt idx="240">
                  <c:v>2</c:v>
                </c:pt>
                <c:pt idx="241">
                  <c:v>36</c:v>
                </c:pt>
                <c:pt idx="242">
                  <c:v>25.3</c:v>
                </c:pt>
                <c:pt idx="243">
                  <c:v>23</c:v>
                </c:pt>
                <c:pt idx="244">
                  <c:v>68.5</c:v>
                </c:pt>
                <c:pt idx="245">
                  <c:v>13</c:v>
                </c:pt>
                <c:pt idx="246">
                  <c:v>35</c:v>
                </c:pt>
                <c:pt idx="247">
                  <c:v>39</c:v>
                </c:pt>
                <c:pt idx="248">
                  <c:v>10</c:v>
                </c:pt>
                <c:pt idx="249">
                  <c:v>5</c:v>
                </c:pt>
                <c:pt idx="250">
                  <c:v>50</c:v>
                </c:pt>
                <c:pt idx="251">
                  <c:v>29</c:v>
                </c:pt>
                <c:pt idx="252">
                  <c:v>31</c:v>
                </c:pt>
                <c:pt idx="253">
                  <c:v>27</c:v>
                </c:pt>
                <c:pt idx="254">
                  <c:v>20</c:v>
                </c:pt>
                <c:pt idx="255">
                  <c:v>2.4</c:v>
                </c:pt>
                <c:pt idx="256">
                  <c:v>22.6</c:v>
                </c:pt>
                <c:pt idx="257">
                  <c:v>40</c:v>
                </c:pt>
                <c:pt idx="258">
                  <c:v>29</c:v>
                </c:pt>
                <c:pt idx="259">
                  <c:v>26</c:v>
                </c:pt>
                <c:pt idx="260">
                  <c:v>1.8</c:v>
                </c:pt>
                <c:pt idx="261">
                  <c:v>89</c:v>
                </c:pt>
                <c:pt idx="262">
                  <c:v>137</c:v>
                </c:pt>
                <c:pt idx="263">
                  <c:v>24.5</c:v>
                </c:pt>
                <c:pt idx="264">
                  <c:v>25</c:v>
                </c:pt>
                <c:pt idx="265">
                  <c:v>38</c:v>
                </c:pt>
                <c:pt idx="266">
                  <c:v>25</c:v>
                </c:pt>
                <c:pt idx="267">
                  <c:v>0.81030000000000002</c:v>
                </c:pt>
                <c:pt idx="268">
                  <c:v>26</c:v>
                </c:pt>
                <c:pt idx="269">
                  <c:v>5.5</c:v>
                </c:pt>
                <c:pt idx="270">
                  <c:v>27</c:v>
                </c:pt>
                <c:pt idx="271">
                  <c:v>0.8</c:v>
                </c:pt>
                <c:pt idx="272">
                  <c:v>5.8</c:v>
                </c:pt>
                <c:pt idx="273">
                  <c:v>4</c:v>
                </c:pt>
                <c:pt idx="274">
                  <c:v>0.65</c:v>
                </c:pt>
                <c:pt idx="275">
                  <c:v>5</c:v>
                </c:pt>
                <c:pt idx="276">
                  <c:v>15</c:v>
                </c:pt>
                <c:pt idx="277">
                  <c:v>2.8</c:v>
                </c:pt>
                <c:pt idx="278">
                  <c:v>2.2999999999999998</c:v>
                </c:pt>
                <c:pt idx="279">
                  <c:v>40</c:v>
                </c:pt>
                <c:pt idx="280">
                  <c:v>3.95</c:v>
                </c:pt>
                <c:pt idx="281">
                  <c:v>28.5</c:v>
                </c:pt>
                <c:pt idx="282">
                  <c:v>30</c:v>
                </c:pt>
                <c:pt idx="283">
                  <c:v>150</c:v>
                </c:pt>
              </c:numCache>
            </c:numRef>
          </c:xVal>
          <c:yVal>
            <c:numRef>
              <c:f>Plot_NF_Vs_Frequency!$C$3:$C$286</c:f>
              <c:numCache>
                <c:formatCode>General</c:formatCode>
                <c:ptCount val="284"/>
                <c:pt idx="0">
                  <c:v>2</c:v>
                </c:pt>
                <c:pt idx="1">
                  <c:v>6.2</c:v>
                </c:pt>
                <c:pt idx="2">
                  <c:v>2.1</c:v>
                </c:pt>
                <c:pt idx="3">
                  <c:v>3.2</c:v>
                </c:pt>
                <c:pt idx="4">
                  <c:v>3.2</c:v>
                </c:pt>
                <c:pt idx="5">
                  <c:v>2.5</c:v>
                </c:pt>
                <c:pt idx="6">
                  <c:v>2.8</c:v>
                </c:pt>
                <c:pt idx="7">
                  <c:v>3.7</c:v>
                </c:pt>
                <c:pt idx="8">
                  <c:v>1.56</c:v>
                </c:pt>
                <c:pt idx="9">
                  <c:v>2.7</c:v>
                </c:pt>
                <c:pt idx="10">
                  <c:v>2.8</c:v>
                </c:pt>
                <c:pt idx="11">
                  <c:v>2.7</c:v>
                </c:pt>
                <c:pt idx="12">
                  <c:v>2.5</c:v>
                </c:pt>
                <c:pt idx="13">
                  <c:v>4.8</c:v>
                </c:pt>
                <c:pt idx="14">
                  <c:v>2.57</c:v>
                </c:pt>
                <c:pt idx="15">
                  <c:v>3</c:v>
                </c:pt>
                <c:pt idx="16">
                  <c:v>3.7</c:v>
                </c:pt>
                <c:pt idx="17">
                  <c:v>6</c:v>
                </c:pt>
                <c:pt idx="18">
                  <c:v>4.5</c:v>
                </c:pt>
                <c:pt idx="19">
                  <c:v>2.13</c:v>
                </c:pt>
                <c:pt idx="20">
                  <c:v>3.2</c:v>
                </c:pt>
                <c:pt idx="21">
                  <c:v>6.1</c:v>
                </c:pt>
                <c:pt idx="22">
                  <c:v>2.97</c:v>
                </c:pt>
                <c:pt idx="23">
                  <c:v>3</c:v>
                </c:pt>
                <c:pt idx="24">
                  <c:v>3.4</c:v>
                </c:pt>
                <c:pt idx="25">
                  <c:v>2.9</c:v>
                </c:pt>
                <c:pt idx="26">
                  <c:v>3.3</c:v>
                </c:pt>
                <c:pt idx="27">
                  <c:v>0.75</c:v>
                </c:pt>
                <c:pt idx="28">
                  <c:v>3.02</c:v>
                </c:pt>
                <c:pt idx="29">
                  <c:v>0.74</c:v>
                </c:pt>
                <c:pt idx="30">
                  <c:v>1.7</c:v>
                </c:pt>
                <c:pt idx="31">
                  <c:v>3.18</c:v>
                </c:pt>
                <c:pt idx="32">
                  <c:v>4.3</c:v>
                </c:pt>
                <c:pt idx="33">
                  <c:v>3.3</c:v>
                </c:pt>
                <c:pt idx="34">
                  <c:v>6.2</c:v>
                </c:pt>
                <c:pt idx="35">
                  <c:v>2.5</c:v>
                </c:pt>
                <c:pt idx="36">
                  <c:v>3.5</c:v>
                </c:pt>
                <c:pt idx="37">
                  <c:v>2.2999999999999998</c:v>
                </c:pt>
                <c:pt idx="38">
                  <c:v>3.7</c:v>
                </c:pt>
                <c:pt idx="39">
                  <c:v>1.7</c:v>
                </c:pt>
                <c:pt idx="40">
                  <c:v>5</c:v>
                </c:pt>
                <c:pt idx="41">
                  <c:v>5</c:v>
                </c:pt>
                <c:pt idx="42">
                  <c:v>3.3</c:v>
                </c:pt>
                <c:pt idx="43">
                  <c:v>2</c:v>
                </c:pt>
                <c:pt idx="44">
                  <c:v>3.3</c:v>
                </c:pt>
                <c:pt idx="45">
                  <c:v>4.0999999999999996</c:v>
                </c:pt>
                <c:pt idx="46">
                  <c:v>4.0999999999999996</c:v>
                </c:pt>
                <c:pt idx="47">
                  <c:v>4.7</c:v>
                </c:pt>
                <c:pt idx="48">
                  <c:v>4.5999999999999996</c:v>
                </c:pt>
                <c:pt idx="49">
                  <c:v>3.9</c:v>
                </c:pt>
                <c:pt idx="50">
                  <c:v>4.2</c:v>
                </c:pt>
                <c:pt idx="51">
                  <c:v>5.63</c:v>
                </c:pt>
                <c:pt idx="52">
                  <c:v>4</c:v>
                </c:pt>
                <c:pt idx="53">
                  <c:v>3.83</c:v>
                </c:pt>
                <c:pt idx="54">
                  <c:v>7.3</c:v>
                </c:pt>
                <c:pt idx="55">
                  <c:v>2.74</c:v>
                </c:pt>
                <c:pt idx="56">
                  <c:v>3.3</c:v>
                </c:pt>
                <c:pt idx="57">
                  <c:v>4.0999999999999996</c:v>
                </c:pt>
                <c:pt idx="58">
                  <c:v>2.4</c:v>
                </c:pt>
                <c:pt idx="59">
                  <c:v>2.27</c:v>
                </c:pt>
                <c:pt idx="60">
                  <c:v>4.4000000000000004</c:v>
                </c:pt>
                <c:pt idx="61">
                  <c:v>5.2</c:v>
                </c:pt>
                <c:pt idx="62">
                  <c:v>4</c:v>
                </c:pt>
                <c:pt idx="63">
                  <c:v>5</c:v>
                </c:pt>
                <c:pt idx="64">
                  <c:v>5.0999999999999996</c:v>
                </c:pt>
                <c:pt idx="65">
                  <c:v>4.78</c:v>
                </c:pt>
                <c:pt idx="66">
                  <c:v>4.0999999999999996</c:v>
                </c:pt>
                <c:pt idx="67">
                  <c:v>4.2</c:v>
                </c:pt>
                <c:pt idx="68">
                  <c:v>5.4</c:v>
                </c:pt>
                <c:pt idx="69">
                  <c:v>3.75</c:v>
                </c:pt>
                <c:pt idx="70">
                  <c:v>7</c:v>
                </c:pt>
                <c:pt idx="71">
                  <c:v>3.8</c:v>
                </c:pt>
                <c:pt idx="72">
                  <c:v>5</c:v>
                </c:pt>
                <c:pt idx="73">
                  <c:v>3.1</c:v>
                </c:pt>
                <c:pt idx="74">
                  <c:v>3.84</c:v>
                </c:pt>
                <c:pt idx="75">
                  <c:v>7.3</c:v>
                </c:pt>
                <c:pt idx="76">
                  <c:v>1.9</c:v>
                </c:pt>
                <c:pt idx="77">
                  <c:v>2.56</c:v>
                </c:pt>
                <c:pt idx="78">
                  <c:v>2.65</c:v>
                </c:pt>
                <c:pt idx="79">
                  <c:v>3.5</c:v>
                </c:pt>
                <c:pt idx="80">
                  <c:v>3.5</c:v>
                </c:pt>
                <c:pt idx="81">
                  <c:v>5.12</c:v>
                </c:pt>
                <c:pt idx="82">
                  <c:v>2.4</c:v>
                </c:pt>
                <c:pt idx="83">
                  <c:v>3.8</c:v>
                </c:pt>
                <c:pt idx="84">
                  <c:v>3.3</c:v>
                </c:pt>
                <c:pt idx="85">
                  <c:v>3.6</c:v>
                </c:pt>
                <c:pt idx="86">
                  <c:v>2.5</c:v>
                </c:pt>
                <c:pt idx="87">
                  <c:v>2.5</c:v>
                </c:pt>
                <c:pt idx="88">
                  <c:v>3.6</c:v>
                </c:pt>
                <c:pt idx="89">
                  <c:v>28.9</c:v>
                </c:pt>
                <c:pt idx="90">
                  <c:v>5.4</c:v>
                </c:pt>
                <c:pt idx="91">
                  <c:v>4.8</c:v>
                </c:pt>
                <c:pt idx="92">
                  <c:v>4.55</c:v>
                </c:pt>
                <c:pt idx="93">
                  <c:v>12</c:v>
                </c:pt>
                <c:pt idx="94">
                  <c:v>4.2</c:v>
                </c:pt>
                <c:pt idx="95">
                  <c:v>5.5</c:v>
                </c:pt>
                <c:pt idx="96">
                  <c:v>4.7</c:v>
                </c:pt>
                <c:pt idx="97">
                  <c:v>4.47</c:v>
                </c:pt>
                <c:pt idx="98">
                  <c:v>7</c:v>
                </c:pt>
                <c:pt idx="99">
                  <c:v>2.8</c:v>
                </c:pt>
                <c:pt idx="100">
                  <c:v>5</c:v>
                </c:pt>
                <c:pt idx="101">
                  <c:v>5.5</c:v>
                </c:pt>
                <c:pt idx="102">
                  <c:v>6</c:v>
                </c:pt>
                <c:pt idx="103">
                  <c:v>4.2</c:v>
                </c:pt>
                <c:pt idx="104">
                  <c:v>5</c:v>
                </c:pt>
                <c:pt idx="105">
                  <c:v>5.96</c:v>
                </c:pt>
                <c:pt idx="106">
                  <c:v>5.8</c:v>
                </c:pt>
                <c:pt idx="107">
                  <c:v>5.4</c:v>
                </c:pt>
                <c:pt idx="108">
                  <c:v>5.4</c:v>
                </c:pt>
                <c:pt idx="109">
                  <c:v>5</c:v>
                </c:pt>
                <c:pt idx="110">
                  <c:v>4</c:v>
                </c:pt>
                <c:pt idx="111">
                  <c:v>5</c:v>
                </c:pt>
                <c:pt idx="112">
                  <c:v>4.4000000000000004</c:v>
                </c:pt>
                <c:pt idx="113">
                  <c:v>12</c:v>
                </c:pt>
                <c:pt idx="114">
                  <c:v>7.1</c:v>
                </c:pt>
                <c:pt idx="115">
                  <c:v>13</c:v>
                </c:pt>
                <c:pt idx="116">
                  <c:v>4.5999999999999996</c:v>
                </c:pt>
                <c:pt idx="117">
                  <c:v>3.2</c:v>
                </c:pt>
                <c:pt idx="118">
                  <c:v>4.5599999999999996</c:v>
                </c:pt>
                <c:pt idx="119">
                  <c:v>5.09</c:v>
                </c:pt>
                <c:pt idx="120">
                  <c:v>6.9</c:v>
                </c:pt>
                <c:pt idx="121">
                  <c:v>4.8</c:v>
                </c:pt>
                <c:pt idx="122">
                  <c:v>11</c:v>
                </c:pt>
                <c:pt idx="123">
                  <c:v>8</c:v>
                </c:pt>
                <c:pt idx="124">
                  <c:v>7</c:v>
                </c:pt>
                <c:pt idx="125">
                  <c:v>6.8</c:v>
                </c:pt>
                <c:pt idx="126">
                  <c:v>6.3</c:v>
                </c:pt>
                <c:pt idx="127">
                  <c:v>5.2</c:v>
                </c:pt>
                <c:pt idx="128">
                  <c:v>6.4</c:v>
                </c:pt>
                <c:pt idx="129">
                  <c:v>7</c:v>
                </c:pt>
                <c:pt idx="130">
                  <c:v>7.8</c:v>
                </c:pt>
                <c:pt idx="131">
                  <c:v>5.7</c:v>
                </c:pt>
                <c:pt idx="132">
                  <c:v>5.7</c:v>
                </c:pt>
                <c:pt idx="133">
                  <c:v>6.25</c:v>
                </c:pt>
                <c:pt idx="134">
                  <c:v>4.9000000000000004</c:v>
                </c:pt>
                <c:pt idx="135">
                  <c:v>6</c:v>
                </c:pt>
                <c:pt idx="136">
                  <c:v>6.5</c:v>
                </c:pt>
                <c:pt idx="137">
                  <c:v>6.2</c:v>
                </c:pt>
                <c:pt idx="138">
                  <c:v>7.5</c:v>
                </c:pt>
                <c:pt idx="139">
                  <c:v>7.2</c:v>
                </c:pt>
                <c:pt idx="140">
                  <c:v>7.2</c:v>
                </c:pt>
                <c:pt idx="141">
                  <c:v>14</c:v>
                </c:pt>
                <c:pt idx="142">
                  <c:v>8.4</c:v>
                </c:pt>
                <c:pt idx="143">
                  <c:v>8.4</c:v>
                </c:pt>
                <c:pt idx="144">
                  <c:v>5</c:v>
                </c:pt>
                <c:pt idx="145">
                  <c:v>4</c:v>
                </c:pt>
                <c:pt idx="146">
                  <c:v>4.7</c:v>
                </c:pt>
                <c:pt idx="147">
                  <c:v>15.1</c:v>
                </c:pt>
                <c:pt idx="148">
                  <c:v>0.5</c:v>
                </c:pt>
                <c:pt idx="149">
                  <c:v>8.8000000000000007</c:v>
                </c:pt>
                <c:pt idx="150">
                  <c:v>2.2999999999999998</c:v>
                </c:pt>
                <c:pt idx="151">
                  <c:v>4</c:v>
                </c:pt>
                <c:pt idx="152">
                  <c:v>1.6</c:v>
                </c:pt>
                <c:pt idx="153">
                  <c:v>5.7</c:v>
                </c:pt>
                <c:pt idx="154">
                  <c:v>6.5</c:v>
                </c:pt>
                <c:pt idx="155">
                  <c:v>3.5</c:v>
                </c:pt>
                <c:pt idx="156">
                  <c:v>5.0999999999999996</c:v>
                </c:pt>
                <c:pt idx="157">
                  <c:v>5.5</c:v>
                </c:pt>
                <c:pt idx="158">
                  <c:v>3.2</c:v>
                </c:pt>
                <c:pt idx="159">
                  <c:v>0.37</c:v>
                </c:pt>
                <c:pt idx="160">
                  <c:v>4.8</c:v>
                </c:pt>
                <c:pt idx="161">
                  <c:v>3.6</c:v>
                </c:pt>
                <c:pt idx="162">
                  <c:v>1.95</c:v>
                </c:pt>
                <c:pt idx="163">
                  <c:v>1</c:v>
                </c:pt>
                <c:pt idx="164">
                  <c:v>5.96</c:v>
                </c:pt>
                <c:pt idx="165">
                  <c:v>4.8</c:v>
                </c:pt>
                <c:pt idx="166">
                  <c:v>2.08</c:v>
                </c:pt>
                <c:pt idx="167">
                  <c:v>5.7</c:v>
                </c:pt>
                <c:pt idx="168">
                  <c:v>1.4</c:v>
                </c:pt>
                <c:pt idx="169">
                  <c:v>1.1000000000000001</c:v>
                </c:pt>
                <c:pt idx="170">
                  <c:v>5.3</c:v>
                </c:pt>
                <c:pt idx="171">
                  <c:v>4.8</c:v>
                </c:pt>
                <c:pt idx="172">
                  <c:v>12</c:v>
                </c:pt>
                <c:pt idx="173">
                  <c:v>6.1</c:v>
                </c:pt>
                <c:pt idx="174">
                  <c:v>1.1000000000000001</c:v>
                </c:pt>
                <c:pt idx="175">
                  <c:v>3.77</c:v>
                </c:pt>
                <c:pt idx="176">
                  <c:v>9.68</c:v>
                </c:pt>
                <c:pt idx="177">
                  <c:v>5</c:v>
                </c:pt>
                <c:pt idx="178">
                  <c:v>6.4</c:v>
                </c:pt>
                <c:pt idx="179">
                  <c:v>2.2999999999999998</c:v>
                </c:pt>
                <c:pt idx="180">
                  <c:v>2.4</c:v>
                </c:pt>
                <c:pt idx="181">
                  <c:v>3.6</c:v>
                </c:pt>
                <c:pt idx="182">
                  <c:v>2.27</c:v>
                </c:pt>
                <c:pt idx="183">
                  <c:v>11.6</c:v>
                </c:pt>
                <c:pt idx="184">
                  <c:v>2.4500000000000002</c:v>
                </c:pt>
                <c:pt idx="185">
                  <c:v>4.8</c:v>
                </c:pt>
                <c:pt idx="186">
                  <c:v>1.8</c:v>
                </c:pt>
                <c:pt idx="187">
                  <c:v>0.95</c:v>
                </c:pt>
                <c:pt idx="188">
                  <c:v>8.1999999999999993</c:v>
                </c:pt>
                <c:pt idx="189">
                  <c:v>13.3</c:v>
                </c:pt>
                <c:pt idx="190">
                  <c:v>2.75</c:v>
                </c:pt>
                <c:pt idx="191">
                  <c:v>6.5</c:v>
                </c:pt>
                <c:pt idx="192">
                  <c:v>3.3</c:v>
                </c:pt>
                <c:pt idx="193">
                  <c:v>1.38</c:v>
                </c:pt>
                <c:pt idx="194">
                  <c:v>5.9</c:v>
                </c:pt>
                <c:pt idx="195">
                  <c:v>2.8</c:v>
                </c:pt>
                <c:pt idx="196">
                  <c:v>3</c:v>
                </c:pt>
                <c:pt idx="197">
                  <c:v>4.7</c:v>
                </c:pt>
                <c:pt idx="198">
                  <c:v>5.6</c:v>
                </c:pt>
                <c:pt idx="199">
                  <c:v>2.2999999999999998</c:v>
                </c:pt>
                <c:pt idx="200">
                  <c:v>5.8</c:v>
                </c:pt>
                <c:pt idx="201">
                  <c:v>3.1</c:v>
                </c:pt>
                <c:pt idx="202">
                  <c:v>2.2400000000000002</c:v>
                </c:pt>
                <c:pt idx="203">
                  <c:v>9.3000000000000007</c:v>
                </c:pt>
                <c:pt idx="204">
                  <c:v>4.5</c:v>
                </c:pt>
                <c:pt idx="205">
                  <c:v>5.6</c:v>
                </c:pt>
                <c:pt idx="206">
                  <c:v>11.5</c:v>
                </c:pt>
                <c:pt idx="207">
                  <c:v>2.36</c:v>
                </c:pt>
                <c:pt idx="208">
                  <c:v>3.8</c:v>
                </c:pt>
                <c:pt idx="209">
                  <c:v>4.4000000000000004</c:v>
                </c:pt>
                <c:pt idx="210">
                  <c:v>3.46</c:v>
                </c:pt>
                <c:pt idx="211">
                  <c:v>7</c:v>
                </c:pt>
                <c:pt idx="212">
                  <c:v>6.1</c:v>
                </c:pt>
                <c:pt idx="213">
                  <c:v>3.6</c:v>
                </c:pt>
                <c:pt idx="214">
                  <c:v>1.37</c:v>
                </c:pt>
                <c:pt idx="215">
                  <c:v>3.39</c:v>
                </c:pt>
                <c:pt idx="216">
                  <c:v>5.3</c:v>
                </c:pt>
                <c:pt idx="217">
                  <c:v>6.5</c:v>
                </c:pt>
                <c:pt idx="218">
                  <c:v>3.4</c:v>
                </c:pt>
                <c:pt idx="219">
                  <c:v>4.4000000000000004</c:v>
                </c:pt>
                <c:pt idx="220">
                  <c:v>12</c:v>
                </c:pt>
                <c:pt idx="221">
                  <c:v>1.98</c:v>
                </c:pt>
                <c:pt idx="222">
                  <c:v>2.9</c:v>
                </c:pt>
                <c:pt idx="223">
                  <c:v>4.4000000000000004</c:v>
                </c:pt>
                <c:pt idx="224">
                  <c:v>2.6</c:v>
                </c:pt>
                <c:pt idx="225">
                  <c:v>4.0599999999999996</c:v>
                </c:pt>
                <c:pt idx="226">
                  <c:v>1.9</c:v>
                </c:pt>
                <c:pt idx="227">
                  <c:v>3.3</c:v>
                </c:pt>
                <c:pt idx="228">
                  <c:v>2.5</c:v>
                </c:pt>
                <c:pt idx="229">
                  <c:v>1.5</c:v>
                </c:pt>
                <c:pt idx="230">
                  <c:v>5.7</c:v>
                </c:pt>
                <c:pt idx="231">
                  <c:v>4.45</c:v>
                </c:pt>
                <c:pt idx="232">
                  <c:v>7.5</c:v>
                </c:pt>
                <c:pt idx="233">
                  <c:v>3</c:v>
                </c:pt>
                <c:pt idx="234">
                  <c:v>3</c:v>
                </c:pt>
                <c:pt idx="235">
                  <c:v>5.7</c:v>
                </c:pt>
                <c:pt idx="236">
                  <c:v>1.1599999999999999</c:v>
                </c:pt>
                <c:pt idx="237">
                  <c:v>4.51</c:v>
                </c:pt>
                <c:pt idx="238">
                  <c:v>6.3</c:v>
                </c:pt>
                <c:pt idx="239">
                  <c:v>4.2</c:v>
                </c:pt>
                <c:pt idx="240">
                  <c:v>0.63</c:v>
                </c:pt>
                <c:pt idx="241">
                  <c:v>2.2000000000000002</c:v>
                </c:pt>
                <c:pt idx="242">
                  <c:v>5.0999999999999996</c:v>
                </c:pt>
                <c:pt idx="243">
                  <c:v>2.8</c:v>
                </c:pt>
                <c:pt idx="244">
                  <c:v>3.78</c:v>
                </c:pt>
                <c:pt idx="245">
                  <c:v>1.94</c:v>
                </c:pt>
                <c:pt idx="246">
                  <c:v>3.2</c:v>
                </c:pt>
                <c:pt idx="247">
                  <c:v>7.3</c:v>
                </c:pt>
                <c:pt idx="248">
                  <c:v>3</c:v>
                </c:pt>
                <c:pt idx="249">
                  <c:v>2.4700000000000002</c:v>
                </c:pt>
                <c:pt idx="250">
                  <c:v>6.8</c:v>
                </c:pt>
                <c:pt idx="251">
                  <c:v>2.7</c:v>
                </c:pt>
                <c:pt idx="252">
                  <c:v>4.6100000000000003</c:v>
                </c:pt>
                <c:pt idx="253">
                  <c:v>3.55</c:v>
                </c:pt>
                <c:pt idx="254">
                  <c:v>5</c:v>
                </c:pt>
                <c:pt idx="255">
                  <c:v>3.5</c:v>
                </c:pt>
                <c:pt idx="256">
                  <c:v>4.04</c:v>
                </c:pt>
                <c:pt idx="257">
                  <c:v>3.5</c:v>
                </c:pt>
                <c:pt idx="258">
                  <c:v>3.6</c:v>
                </c:pt>
                <c:pt idx="259">
                  <c:v>5.0999999999999996</c:v>
                </c:pt>
                <c:pt idx="260">
                  <c:v>0.63</c:v>
                </c:pt>
                <c:pt idx="261">
                  <c:v>6.39</c:v>
                </c:pt>
                <c:pt idx="262">
                  <c:v>7.9</c:v>
                </c:pt>
                <c:pt idx="263">
                  <c:v>6.7</c:v>
                </c:pt>
                <c:pt idx="264">
                  <c:v>5.0999999999999996</c:v>
                </c:pt>
                <c:pt idx="265">
                  <c:v>2.2000000000000002</c:v>
                </c:pt>
                <c:pt idx="266">
                  <c:v>3.3</c:v>
                </c:pt>
                <c:pt idx="267">
                  <c:v>2</c:v>
                </c:pt>
                <c:pt idx="268">
                  <c:v>3.4</c:v>
                </c:pt>
                <c:pt idx="269">
                  <c:v>1.3</c:v>
                </c:pt>
                <c:pt idx="270">
                  <c:v>2.8</c:v>
                </c:pt>
                <c:pt idx="271">
                  <c:v>2.8</c:v>
                </c:pt>
                <c:pt idx="272">
                  <c:v>3.2</c:v>
                </c:pt>
                <c:pt idx="273">
                  <c:v>1.46</c:v>
                </c:pt>
                <c:pt idx="274">
                  <c:v>6.5</c:v>
                </c:pt>
                <c:pt idx="275">
                  <c:v>2.5</c:v>
                </c:pt>
                <c:pt idx="276">
                  <c:v>5.33</c:v>
                </c:pt>
                <c:pt idx="277">
                  <c:v>5.9</c:v>
                </c:pt>
                <c:pt idx="278">
                  <c:v>1.1100000000000001</c:v>
                </c:pt>
                <c:pt idx="279">
                  <c:v>4.8</c:v>
                </c:pt>
                <c:pt idx="280">
                  <c:v>2.23</c:v>
                </c:pt>
                <c:pt idx="281">
                  <c:v>2.79</c:v>
                </c:pt>
                <c:pt idx="282">
                  <c:v>1.92</c:v>
                </c:pt>
                <c:pt idx="283">
                  <c:v>6.2</c:v>
                </c:pt>
              </c:numCache>
            </c:numRef>
          </c:yVal>
          <c:smooth val="0"/>
          <c:extLst>
            <c:ext xmlns:c16="http://schemas.microsoft.com/office/drawing/2014/chart" uri="{C3380CC4-5D6E-409C-BE32-E72D297353CC}">
              <c16:uniqueId val="{00000000-54E4-4089-98F2-DB4B9EC56186}"/>
            </c:ext>
          </c:extLst>
        </c:ser>
        <c:ser>
          <c:idx val="1"/>
          <c:order val="1"/>
          <c:tx>
            <c:v>CMOS SOI</c:v>
          </c:tx>
          <c:spPr>
            <a:ln w="25400" cap="rnd">
              <a:noFill/>
              <a:round/>
            </a:ln>
            <a:effectLst/>
          </c:spPr>
          <c:marker>
            <c:symbol val="circle"/>
            <c:size val="9"/>
            <c:spPr>
              <a:solidFill>
                <a:srgbClr val="00B050">
                  <a:alpha val="50000"/>
                </a:srgbClr>
              </a:solidFill>
              <a:ln w="12700">
                <a:solidFill>
                  <a:schemeClr val="tx1"/>
                </a:solidFill>
              </a:ln>
              <a:effectLst/>
            </c:spPr>
          </c:marker>
          <c:xVal>
            <c:numRef>
              <c:f>Plot_NF_Vs_Frequency!$D$3:$D$87</c:f>
              <c:numCache>
                <c:formatCode>General</c:formatCode>
                <c:ptCount val="85"/>
                <c:pt idx="0">
                  <c:v>0.996</c:v>
                </c:pt>
                <c:pt idx="1">
                  <c:v>6</c:v>
                </c:pt>
                <c:pt idx="2">
                  <c:v>8.5</c:v>
                </c:pt>
                <c:pt idx="3">
                  <c:v>17</c:v>
                </c:pt>
                <c:pt idx="4">
                  <c:v>22</c:v>
                </c:pt>
                <c:pt idx="5">
                  <c:v>24</c:v>
                </c:pt>
                <c:pt idx="6">
                  <c:v>25</c:v>
                </c:pt>
                <c:pt idx="7">
                  <c:v>25</c:v>
                </c:pt>
                <c:pt idx="8">
                  <c:v>25</c:v>
                </c:pt>
                <c:pt idx="9">
                  <c:v>25</c:v>
                </c:pt>
                <c:pt idx="10">
                  <c:v>26</c:v>
                </c:pt>
                <c:pt idx="11">
                  <c:v>26</c:v>
                </c:pt>
                <c:pt idx="12">
                  <c:v>26</c:v>
                </c:pt>
                <c:pt idx="13">
                  <c:v>26</c:v>
                </c:pt>
                <c:pt idx="14">
                  <c:v>26</c:v>
                </c:pt>
                <c:pt idx="15">
                  <c:v>27</c:v>
                </c:pt>
                <c:pt idx="16">
                  <c:v>27</c:v>
                </c:pt>
                <c:pt idx="17">
                  <c:v>27.5</c:v>
                </c:pt>
                <c:pt idx="18">
                  <c:v>27.7</c:v>
                </c:pt>
                <c:pt idx="19">
                  <c:v>27.7</c:v>
                </c:pt>
                <c:pt idx="20">
                  <c:v>28</c:v>
                </c:pt>
                <c:pt idx="21">
                  <c:v>28</c:v>
                </c:pt>
                <c:pt idx="22">
                  <c:v>28</c:v>
                </c:pt>
                <c:pt idx="23">
                  <c:v>28</c:v>
                </c:pt>
                <c:pt idx="24">
                  <c:v>28.5</c:v>
                </c:pt>
                <c:pt idx="25">
                  <c:v>29</c:v>
                </c:pt>
                <c:pt idx="26">
                  <c:v>29</c:v>
                </c:pt>
                <c:pt idx="27">
                  <c:v>30.1</c:v>
                </c:pt>
                <c:pt idx="28">
                  <c:v>38</c:v>
                </c:pt>
                <c:pt idx="29">
                  <c:v>38</c:v>
                </c:pt>
                <c:pt idx="30">
                  <c:v>39</c:v>
                </c:pt>
                <c:pt idx="31">
                  <c:v>39</c:v>
                </c:pt>
                <c:pt idx="32">
                  <c:v>39</c:v>
                </c:pt>
                <c:pt idx="33">
                  <c:v>39</c:v>
                </c:pt>
                <c:pt idx="34">
                  <c:v>44</c:v>
                </c:pt>
                <c:pt idx="35">
                  <c:v>60</c:v>
                </c:pt>
                <c:pt idx="36">
                  <c:v>77</c:v>
                </c:pt>
                <c:pt idx="37">
                  <c:v>78</c:v>
                </c:pt>
                <c:pt idx="38">
                  <c:v>81</c:v>
                </c:pt>
                <c:pt idx="39">
                  <c:v>83</c:v>
                </c:pt>
                <c:pt idx="40">
                  <c:v>96</c:v>
                </c:pt>
                <c:pt idx="41">
                  <c:v>105</c:v>
                </c:pt>
                <c:pt idx="42">
                  <c:v>130</c:v>
                </c:pt>
                <c:pt idx="43">
                  <c:v>135</c:v>
                </c:pt>
                <c:pt idx="44">
                  <c:v>140</c:v>
                </c:pt>
                <c:pt idx="45">
                  <c:v>140</c:v>
                </c:pt>
                <c:pt idx="46">
                  <c:v>140</c:v>
                </c:pt>
                <c:pt idx="47">
                  <c:v>140</c:v>
                </c:pt>
                <c:pt idx="48">
                  <c:v>140</c:v>
                </c:pt>
                <c:pt idx="49">
                  <c:v>144</c:v>
                </c:pt>
                <c:pt idx="50">
                  <c:v>144</c:v>
                </c:pt>
                <c:pt idx="51">
                  <c:v>147</c:v>
                </c:pt>
                <c:pt idx="52">
                  <c:v>153</c:v>
                </c:pt>
                <c:pt idx="53">
                  <c:v>6.5</c:v>
                </c:pt>
                <c:pt idx="54">
                  <c:v>3.5</c:v>
                </c:pt>
                <c:pt idx="55">
                  <c:v>3.5</c:v>
                </c:pt>
                <c:pt idx="56">
                  <c:v>8.5</c:v>
                </c:pt>
                <c:pt idx="57">
                  <c:v>28</c:v>
                </c:pt>
                <c:pt idx="58">
                  <c:v>29</c:v>
                </c:pt>
                <c:pt idx="59">
                  <c:v>53</c:v>
                </c:pt>
                <c:pt idx="60">
                  <c:v>60</c:v>
                </c:pt>
                <c:pt idx="61">
                  <c:v>8</c:v>
                </c:pt>
                <c:pt idx="62">
                  <c:v>55</c:v>
                </c:pt>
                <c:pt idx="63">
                  <c:v>2</c:v>
                </c:pt>
                <c:pt idx="64">
                  <c:v>100</c:v>
                </c:pt>
                <c:pt idx="65">
                  <c:v>9</c:v>
                </c:pt>
                <c:pt idx="66">
                  <c:v>29</c:v>
                </c:pt>
                <c:pt idx="67">
                  <c:v>20</c:v>
                </c:pt>
                <c:pt idx="68">
                  <c:v>28</c:v>
                </c:pt>
                <c:pt idx="69">
                  <c:v>19.5</c:v>
                </c:pt>
                <c:pt idx="70">
                  <c:v>24</c:v>
                </c:pt>
                <c:pt idx="71">
                  <c:v>28</c:v>
                </c:pt>
                <c:pt idx="72">
                  <c:v>116</c:v>
                </c:pt>
                <c:pt idx="73">
                  <c:v>140</c:v>
                </c:pt>
                <c:pt idx="74">
                  <c:v>35</c:v>
                </c:pt>
                <c:pt idx="75">
                  <c:v>31</c:v>
                </c:pt>
                <c:pt idx="76">
                  <c:v>27.8</c:v>
                </c:pt>
                <c:pt idx="77">
                  <c:v>8.5</c:v>
                </c:pt>
                <c:pt idx="78">
                  <c:v>138</c:v>
                </c:pt>
                <c:pt idx="79">
                  <c:v>27.3</c:v>
                </c:pt>
                <c:pt idx="80">
                  <c:v>20</c:v>
                </c:pt>
                <c:pt idx="81">
                  <c:v>11.5</c:v>
                </c:pt>
                <c:pt idx="82">
                  <c:v>61</c:v>
                </c:pt>
              </c:numCache>
            </c:numRef>
          </c:xVal>
          <c:yVal>
            <c:numRef>
              <c:f>Plot_NF_Vs_Frequency!$E$3:$E$87</c:f>
              <c:numCache>
                <c:formatCode>General</c:formatCode>
                <c:ptCount val="85"/>
                <c:pt idx="0">
                  <c:v>7.1</c:v>
                </c:pt>
                <c:pt idx="1">
                  <c:v>2.5</c:v>
                </c:pt>
                <c:pt idx="2">
                  <c:v>0.8</c:v>
                </c:pt>
                <c:pt idx="3">
                  <c:v>2</c:v>
                </c:pt>
                <c:pt idx="4">
                  <c:v>3.8</c:v>
                </c:pt>
                <c:pt idx="5">
                  <c:v>4.5</c:v>
                </c:pt>
                <c:pt idx="6">
                  <c:v>2.08</c:v>
                </c:pt>
                <c:pt idx="7">
                  <c:v>2.25</c:v>
                </c:pt>
                <c:pt idx="8">
                  <c:v>5</c:v>
                </c:pt>
                <c:pt idx="9">
                  <c:v>2.5499999999999998</c:v>
                </c:pt>
                <c:pt idx="10">
                  <c:v>2.2000000000000002</c:v>
                </c:pt>
                <c:pt idx="11">
                  <c:v>2</c:v>
                </c:pt>
                <c:pt idx="12">
                  <c:v>2.92</c:v>
                </c:pt>
                <c:pt idx="13">
                  <c:v>2.92</c:v>
                </c:pt>
                <c:pt idx="14">
                  <c:v>5.2</c:v>
                </c:pt>
                <c:pt idx="15">
                  <c:v>1.4</c:v>
                </c:pt>
                <c:pt idx="16">
                  <c:v>5.2</c:v>
                </c:pt>
                <c:pt idx="17">
                  <c:v>2.1</c:v>
                </c:pt>
                <c:pt idx="18">
                  <c:v>2.4</c:v>
                </c:pt>
                <c:pt idx="19">
                  <c:v>2.4</c:v>
                </c:pt>
                <c:pt idx="20">
                  <c:v>1.73</c:v>
                </c:pt>
                <c:pt idx="21">
                  <c:v>4.5</c:v>
                </c:pt>
                <c:pt idx="22">
                  <c:v>3.2</c:v>
                </c:pt>
                <c:pt idx="23">
                  <c:v>5.2</c:v>
                </c:pt>
                <c:pt idx="24">
                  <c:v>2.7</c:v>
                </c:pt>
                <c:pt idx="25">
                  <c:v>3.1</c:v>
                </c:pt>
                <c:pt idx="26">
                  <c:v>4.3</c:v>
                </c:pt>
                <c:pt idx="27">
                  <c:v>5.5</c:v>
                </c:pt>
                <c:pt idx="28">
                  <c:v>2.1</c:v>
                </c:pt>
                <c:pt idx="29">
                  <c:v>4.9000000000000004</c:v>
                </c:pt>
                <c:pt idx="30">
                  <c:v>4.9000000000000004</c:v>
                </c:pt>
                <c:pt idx="31">
                  <c:v>5.5</c:v>
                </c:pt>
                <c:pt idx="32">
                  <c:v>2.5</c:v>
                </c:pt>
                <c:pt idx="33">
                  <c:v>7.9</c:v>
                </c:pt>
                <c:pt idx="34">
                  <c:v>3</c:v>
                </c:pt>
                <c:pt idx="35">
                  <c:v>4.4000000000000004</c:v>
                </c:pt>
                <c:pt idx="36">
                  <c:v>4.5999999999999996</c:v>
                </c:pt>
                <c:pt idx="37">
                  <c:v>4.8</c:v>
                </c:pt>
                <c:pt idx="38">
                  <c:v>5.5</c:v>
                </c:pt>
                <c:pt idx="39">
                  <c:v>5.9</c:v>
                </c:pt>
                <c:pt idx="40">
                  <c:v>5.8</c:v>
                </c:pt>
                <c:pt idx="41">
                  <c:v>5</c:v>
                </c:pt>
                <c:pt idx="42">
                  <c:v>5.8</c:v>
                </c:pt>
                <c:pt idx="43">
                  <c:v>8.5</c:v>
                </c:pt>
                <c:pt idx="44">
                  <c:v>5.2</c:v>
                </c:pt>
                <c:pt idx="45">
                  <c:v>9</c:v>
                </c:pt>
                <c:pt idx="46">
                  <c:v>9.1999999999999993</c:v>
                </c:pt>
                <c:pt idx="47">
                  <c:v>9.1999999999999993</c:v>
                </c:pt>
                <c:pt idx="48">
                  <c:v>10</c:v>
                </c:pt>
                <c:pt idx="49">
                  <c:v>6.4</c:v>
                </c:pt>
                <c:pt idx="50">
                  <c:v>6.4</c:v>
                </c:pt>
                <c:pt idx="51">
                  <c:v>6.5</c:v>
                </c:pt>
                <c:pt idx="52">
                  <c:v>7.5</c:v>
                </c:pt>
                <c:pt idx="53">
                  <c:v>1.6</c:v>
                </c:pt>
                <c:pt idx="54">
                  <c:v>0.85</c:v>
                </c:pt>
                <c:pt idx="55">
                  <c:v>1.3</c:v>
                </c:pt>
                <c:pt idx="56">
                  <c:v>2.46</c:v>
                </c:pt>
                <c:pt idx="57">
                  <c:v>4.4000000000000004</c:v>
                </c:pt>
                <c:pt idx="58">
                  <c:v>2.9</c:v>
                </c:pt>
                <c:pt idx="59">
                  <c:v>3.4</c:v>
                </c:pt>
                <c:pt idx="60">
                  <c:v>5</c:v>
                </c:pt>
                <c:pt idx="61">
                  <c:v>6.6</c:v>
                </c:pt>
                <c:pt idx="62">
                  <c:v>3.3</c:v>
                </c:pt>
                <c:pt idx="63">
                  <c:v>1.2</c:v>
                </c:pt>
                <c:pt idx="64">
                  <c:v>6.5</c:v>
                </c:pt>
                <c:pt idx="65">
                  <c:v>4.8499999999999996</c:v>
                </c:pt>
                <c:pt idx="66">
                  <c:v>5.4</c:v>
                </c:pt>
                <c:pt idx="67">
                  <c:v>2.46</c:v>
                </c:pt>
                <c:pt idx="68">
                  <c:v>6</c:v>
                </c:pt>
                <c:pt idx="69">
                  <c:v>2.42</c:v>
                </c:pt>
                <c:pt idx="70">
                  <c:v>2.75</c:v>
                </c:pt>
                <c:pt idx="71">
                  <c:v>2.2000000000000002</c:v>
                </c:pt>
                <c:pt idx="72">
                  <c:v>6.1</c:v>
                </c:pt>
                <c:pt idx="73">
                  <c:v>7.5</c:v>
                </c:pt>
                <c:pt idx="74">
                  <c:v>2.2999999999999998</c:v>
                </c:pt>
                <c:pt idx="75">
                  <c:v>5.8</c:v>
                </c:pt>
                <c:pt idx="76">
                  <c:v>2.1</c:v>
                </c:pt>
                <c:pt idx="77">
                  <c:v>0.8</c:v>
                </c:pt>
                <c:pt idx="78">
                  <c:v>5.32</c:v>
                </c:pt>
                <c:pt idx="79">
                  <c:v>3.2</c:v>
                </c:pt>
                <c:pt idx="80">
                  <c:v>1.26</c:v>
                </c:pt>
                <c:pt idx="81">
                  <c:v>1.3</c:v>
                </c:pt>
                <c:pt idx="82">
                  <c:v>4.2</c:v>
                </c:pt>
              </c:numCache>
            </c:numRef>
          </c:yVal>
          <c:smooth val="0"/>
          <c:extLst>
            <c:ext xmlns:c16="http://schemas.microsoft.com/office/drawing/2014/chart" uri="{C3380CC4-5D6E-409C-BE32-E72D297353CC}">
              <c16:uniqueId val="{00000001-54E4-4089-98F2-DB4B9EC56186}"/>
            </c:ext>
          </c:extLst>
        </c:ser>
        <c:ser>
          <c:idx val="3"/>
          <c:order val="2"/>
          <c:tx>
            <c:v>SiGe</c:v>
          </c:tx>
          <c:spPr>
            <a:ln w="25400" cap="rnd">
              <a:noFill/>
              <a:round/>
            </a:ln>
            <a:effectLst/>
          </c:spPr>
          <c:marker>
            <c:symbol val="diamond"/>
            <c:size val="11"/>
            <c:spPr>
              <a:solidFill>
                <a:srgbClr val="FF0000">
                  <a:alpha val="40000"/>
                </a:srgbClr>
              </a:solidFill>
              <a:ln w="12700">
                <a:solidFill>
                  <a:schemeClr val="tx1"/>
                </a:solidFill>
              </a:ln>
              <a:effectLst/>
            </c:spPr>
          </c:marker>
          <c:xVal>
            <c:numRef>
              <c:f>Plot_NF_Vs_Frequency!$F$3:$F$100</c:f>
              <c:numCache>
                <c:formatCode>General</c:formatCode>
                <c:ptCount val="98"/>
                <c:pt idx="0">
                  <c:v>4</c:v>
                </c:pt>
                <c:pt idx="1">
                  <c:v>6</c:v>
                </c:pt>
                <c:pt idx="2">
                  <c:v>9</c:v>
                </c:pt>
                <c:pt idx="3">
                  <c:v>20</c:v>
                </c:pt>
                <c:pt idx="4">
                  <c:v>24</c:v>
                </c:pt>
                <c:pt idx="5">
                  <c:v>25</c:v>
                </c:pt>
                <c:pt idx="6">
                  <c:v>27</c:v>
                </c:pt>
                <c:pt idx="7">
                  <c:v>28</c:v>
                </c:pt>
                <c:pt idx="8">
                  <c:v>28</c:v>
                </c:pt>
                <c:pt idx="9">
                  <c:v>28</c:v>
                </c:pt>
                <c:pt idx="10">
                  <c:v>28</c:v>
                </c:pt>
                <c:pt idx="11">
                  <c:v>30</c:v>
                </c:pt>
                <c:pt idx="12">
                  <c:v>30</c:v>
                </c:pt>
                <c:pt idx="13">
                  <c:v>31</c:v>
                </c:pt>
                <c:pt idx="14">
                  <c:v>32.5</c:v>
                </c:pt>
                <c:pt idx="15">
                  <c:v>35</c:v>
                </c:pt>
                <c:pt idx="16">
                  <c:v>35</c:v>
                </c:pt>
                <c:pt idx="17">
                  <c:v>40</c:v>
                </c:pt>
                <c:pt idx="18">
                  <c:v>41</c:v>
                </c:pt>
                <c:pt idx="19">
                  <c:v>41</c:v>
                </c:pt>
                <c:pt idx="20">
                  <c:v>44</c:v>
                </c:pt>
                <c:pt idx="21">
                  <c:v>50</c:v>
                </c:pt>
                <c:pt idx="22">
                  <c:v>51</c:v>
                </c:pt>
                <c:pt idx="23">
                  <c:v>51</c:v>
                </c:pt>
                <c:pt idx="24">
                  <c:v>60</c:v>
                </c:pt>
                <c:pt idx="25">
                  <c:v>60</c:v>
                </c:pt>
                <c:pt idx="26">
                  <c:v>60</c:v>
                </c:pt>
                <c:pt idx="27">
                  <c:v>72</c:v>
                </c:pt>
                <c:pt idx="28">
                  <c:v>73</c:v>
                </c:pt>
                <c:pt idx="29">
                  <c:v>76</c:v>
                </c:pt>
                <c:pt idx="30">
                  <c:v>80</c:v>
                </c:pt>
                <c:pt idx="31">
                  <c:v>80</c:v>
                </c:pt>
                <c:pt idx="32">
                  <c:v>81</c:v>
                </c:pt>
                <c:pt idx="33">
                  <c:v>82</c:v>
                </c:pt>
                <c:pt idx="34">
                  <c:v>83</c:v>
                </c:pt>
                <c:pt idx="35">
                  <c:v>85</c:v>
                </c:pt>
                <c:pt idx="36">
                  <c:v>100</c:v>
                </c:pt>
                <c:pt idx="37">
                  <c:v>105</c:v>
                </c:pt>
                <c:pt idx="38">
                  <c:v>110</c:v>
                </c:pt>
                <c:pt idx="39">
                  <c:v>110</c:v>
                </c:pt>
                <c:pt idx="40">
                  <c:v>110</c:v>
                </c:pt>
                <c:pt idx="41">
                  <c:v>110</c:v>
                </c:pt>
                <c:pt idx="42">
                  <c:v>110</c:v>
                </c:pt>
                <c:pt idx="43">
                  <c:v>110</c:v>
                </c:pt>
                <c:pt idx="44">
                  <c:v>110</c:v>
                </c:pt>
                <c:pt idx="45">
                  <c:v>120</c:v>
                </c:pt>
                <c:pt idx="46">
                  <c:v>120</c:v>
                </c:pt>
                <c:pt idx="47">
                  <c:v>120</c:v>
                </c:pt>
                <c:pt idx="48">
                  <c:v>139.80000000000001</c:v>
                </c:pt>
                <c:pt idx="49">
                  <c:v>140</c:v>
                </c:pt>
                <c:pt idx="50">
                  <c:v>140</c:v>
                </c:pt>
                <c:pt idx="51">
                  <c:v>140</c:v>
                </c:pt>
                <c:pt idx="52">
                  <c:v>150</c:v>
                </c:pt>
                <c:pt idx="53">
                  <c:v>170</c:v>
                </c:pt>
                <c:pt idx="54">
                  <c:v>187.5</c:v>
                </c:pt>
                <c:pt idx="55">
                  <c:v>190</c:v>
                </c:pt>
                <c:pt idx="56">
                  <c:v>217</c:v>
                </c:pt>
                <c:pt idx="57">
                  <c:v>240</c:v>
                </c:pt>
                <c:pt idx="58">
                  <c:v>240</c:v>
                </c:pt>
                <c:pt idx="59">
                  <c:v>260</c:v>
                </c:pt>
                <c:pt idx="60">
                  <c:v>125</c:v>
                </c:pt>
                <c:pt idx="61">
                  <c:v>208</c:v>
                </c:pt>
                <c:pt idx="62">
                  <c:v>29.5</c:v>
                </c:pt>
                <c:pt idx="63">
                  <c:v>50</c:v>
                </c:pt>
                <c:pt idx="64">
                  <c:v>92</c:v>
                </c:pt>
                <c:pt idx="65">
                  <c:v>165</c:v>
                </c:pt>
                <c:pt idx="66">
                  <c:v>15</c:v>
                </c:pt>
                <c:pt idx="67">
                  <c:v>80</c:v>
                </c:pt>
                <c:pt idx="68">
                  <c:v>285</c:v>
                </c:pt>
                <c:pt idx="69">
                  <c:v>11</c:v>
                </c:pt>
                <c:pt idx="70">
                  <c:v>25</c:v>
                </c:pt>
                <c:pt idx="71">
                  <c:v>150</c:v>
                </c:pt>
                <c:pt idx="72">
                  <c:v>20</c:v>
                </c:pt>
                <c:pt idx="73">
                  <c:v>215</c:v>
                </c:pt>
                <c:pt idx="74">
                  <c:v>20</c:v>
                </c:pt>
                <c:pt idx="75">
                  <c:v>195</c:v>
                </c:pt>
                <c:pt idx="76">
                  <c:v>130</c:v>
                </c:pt>
                <c:pt idx="77">
                  <c:v>23</c:v>
                </c:pt>
                <c:pt idx="78">
                  <c:v>25</c:v>
                </c:pt>
                <c:pt idx="79">
                  <c:v>13</c:v>
                </c:pt>
                <c:pt idx="80">
                  <c:v>6</c:v>
                </c:pt>
                <c:pt idx="81">
                  <c:v>5</c:v>
                </c:pt>
                <c:pt idx="82">
                  <c:v>4</c:v>
                </c:pt>
                <c:pt idx="83">
                  <c:v>20</c:v>
                </c:pt>
                <c:pt idx="84">
                  <c:v>1.1299999999999999</c:v>
                </c:pt>
                <c:pt idx="85">
                  <c:v>17.5</c:v>
                </c:pt>
                <c:pt idx="86">
                  <c:v>18.600000000000001</c:v>
                </c:pt>
                <c:pt idx="87">
                  <c:v>18</c:v>
                </c:pt>
                <c:pt idx="88">
                  <c:v>135</c:v>
                </c:pt>
                <c:pt idx="89">
                  <c:v>25</c:v>
                </c:pt>
                <c:pt idx="90">
                  <c:v>195</c:v>
                </c:pt>
                <c:pt idx="91">
                  <c:v>155</c:v>
                </c:pt>
                <c:pt idx="92">
                  <c:v>10</c:v>
                </c:pt>
                <c:pt idx="93">
                  <c:v>150</c:v>
                </c:pt>
                <c:pt idx="94">
                  <c:v>100</c:v>
                </c:pt>
                <c:pt idx="95">
                  <c:v>235</c:v>
                </c:pt>
                <c:pt idx="96">
                  <c:v>237</c:v>
                </c:pt>
                <c:pt idx="97">
                  <c:v>212</c:v>
                </c:pt>
              </c:numCache>
            </c:numRef>
          </c:xVal>
          <c:yVal>
            <c:numRef>
              <c:f>Plot_NF_Vs_Frequency!$G$3:$G$100</c:f>
              <c:numCache>
                <c:formatCode>General</c:formatCode>
                <c:ptCount val="98"/>
                <c:pt idx="0">
                  <c:v>3.8</c:v>
                </c:pt>
                <c:pt idx="1">
                  <c:v>1.1499999999999999</c:v>
                </c:pt>
                <c:pt idx="2">
                  <c:v>13.6</c:v>
                </c:pt>
                <c:pt idx="3">
                  <c:v>2.2999999999999998</c:v>
                </c:pt>
                <c:pt idx="4">
                  <c:v>2.7</c:v>
                </c:pt>
                <c:pt idx="5">
                  <c:v>2</c:v>
                </c:pt>
                <c:pt idx="6">
                  <c:v>5.5</c:v>
                </c:pt>
                <c:pt idx="7">
                  <c:v>4.2</c:v>
                </c:pt>
                <c:pt idx="8">
                  <c:v>4.2</c:v>
                </c:pt>
                <c:pt idx="9">
                  <c:v>2.8</c:v>
                </c:pt>
                <c:pt idx="10">
                  <c:v>3</c:v>
                </c:pt>
                <c:pt idx="11">
                  <c:v>3</c:v>
                </c:pt>
                <c:pt idx="12">
                  <c:v>4.8</c:v>
                </c:pt>
                <c:pt idx="13">
                  <c:v>7.6</c:v>
                </c:pt>
                <c:pt idx="14">
                  <c:v>2.5</c:v>
                </c:pt>
                <c:pt idx="15">
                  <c:v>4.8</c:v>
                </c:pt>
                <c:pt idx="16">
                  <c:v>4.4000000000000004</c:v>
                </c:pt>
                <c:pt idx="17">
                  <c:v>7</c:v>
                </c:pt>
                <c:pt idx="18">
                  <c:v>3.5</c:v>
                </c:pt>
                <c:pt idx="19">
                  <c:v>3.5</c:v>
                </c:pt>
                <c:pt idx="20">
                  <c:v>5.7</c:v>
                </c:pt>
                <c:pt idx="21">
                  <c:v>3.5</c:v>
                </c:pt>
                <c:pt idx="22">
                  <c:v>4.5</c:v>
                </c:pt>
                <c:pt idx="23">
                  <c:v>4.5</c:v>
                </c:pt>
                <c:pt idx="24">
                  <c:v>5.8</c:v>
                </c:pt>
                <c:pt idx="25">
                  <c:v>3.2</c:v>
                </c:pt>
                <c:pt idx="26">
                  <c:v>3.3</c:v>
                </c:pt>
                <c:pt idx="27">
                  <c:v>3.5</c:v>
                </c:pt>
                <c:pt idx="28">
                  <c:v>4.5</c:v>
                </c:pt>
                <c:pt idx="29">
                  <c:v>4.5</c:v>
                </c:pt>
                <c:pt idx="30">
                  <c:v>4.2</c:v>
                </c:pt>
                <c:pt idx="31">
                  <c:v>4.2</c:v>
                </c:pt>
                <c:pt idx="32">
                  <c:v>3.8</c:v>
                </c:pt>
                <c:pt idx="33">
                  <c:v>8</c:v>
                </c:pt>
                <c:pt idx="34">
                  <c:v>5</c:v>
                </c:pt>
                <c:pt idx="35">
                  <c:v>5.5</c:v>
                </c:pt>
                <c:pt idx="36">
                  <c:v>4.8</c:v>
                </c:pt>
                <c:pt idx="37">
                  <c:v>6</c:v>
                </c:pt>
                <c:pt idx="38">
                  <c:v>4</c:v>
                </c:pt>
                <c:pt idx="39">
                  <c:v>4</c:v>
                </c:pt>
                <c:pt idx="40">
                  <c:v>4.5</c:v>
                </c:pt>
                <c:pt idx="41">
                  <c:v>5</c:v>
                </c:pt>
                <c:pt idx="42">
                  <c:v>6</c:v>
                </c:pt>
                <c:pt idx="43">
                  <c:v>6.1</c:v>
                </c:pt>
                <c:pt idx="44">
                  <c:v>11</c:v>
                </c:pt>
                <c:pt idx="45">
                  <c:v>6</c:v>
                </c:pt>
                <c:pt idx="46">
                  <c:v>7.2</c:v>
                </c:pt>
                <c:pt idx="47">
                  <c:v>9</c:v>
                </c:pt>
                <c:pt idx="48">
                  <c:v>7.2</c:v>
                </c:pt>
                <c:pt idx="49">
                  <c:v>5.5</c:v>
                </c:pt>
                <c:pt idx="50">
                  <c:v>6.2</c:v>
                </c:pt>
                <c:pt idx="51">
                  <c:v>5.9</c:v>
                </c:pt>
                <c:pt idx="52">
                  <c:v>8.5</c:v>
                </c:pt>
                <c:pt idx="53">
                  <c:v>7.9</c:v>
                </c:pt>
                <c:pt idx="54">
                  <c:v>8.4</c:v>
                </c:pt>
                <c:pt idx="55">
                  <c:v>6.1</c:v>
                </c:pt>
                <c:pt idx="56">
                  <c:v>9</c:v>
                </c:pt>
                <c:pt idx="57">
                  <c:v>13.2</c:v>
                </c:pt>
                <c:pt idx="58">
                  <c:v>13.2</c:v>
                </c:pt>
                <c:pt idx="59">
                  <c:v>13.5</c:v>
                </c:pt>
                <c:pt idx="60">
                  <c:v>9</c:v>
                </c:pt>
                <c:pt idx="61">
                  <c:v>10.5</c:v>
                </c:pt>
                <c:pt idx="62">
                  <c:v>5</c:v>
                </c:pt>
                <c:pt idx="63">
                  <c:v>4.0599999999999996</c:v>
                </c:pt>
                <c:pt idx="64">
                  <c:v>4</c:v>
                </c:pt>
                <c:pt idx="65">
                  <c:v>9.5</c:v>
                </c:pt>
                <c:pt idx="66">
                  <c:v>2.9</c:v>
                </c:pt>
                <c:pt idx="67">
                  <c:v>4.5999999999999996</c:v>
                </c:pt>
                <c:pt idx="68">
                  <c:v>10.5</c:v>
                </c:pt>
                <c:pt idx="69">
                  <c:v>2</c:v>
                </c:pt>
                <c:pt idx="70">
                  <c:v>3.1</c:v>
                </c:pt>
                <c:pt idx="71">
                  <c:v>5.2</c:v>
                </c:pt>
                <c:pt idx="72">
                  <c:v>2.2999999999999998</c:v>
                </c:pt>
                <c:pt idx="73">
                  <c:v>13.3</c:v>
                </c:pt>
                <c:pt idx="74">
                  <c:v>2.7</c:v>
                </c:pt>
                <c:pt idx="75">
                  <c:v>9</c:v>
                </c:pt>
                <c:pt idx="76">
                  <c:v>6.8</c:v>
                </c:pt>
                <c:pt idx="77">
                  <c:v>3.1</c:v>
                </c:pt>
                <c:pt idx="78">
                  <c:v>2.8</c:v>
                </c:pt>
                <c:pt idx="79">
                  <c:v>3</c:v>
                </c:pt>
                <c:pt idx="80">
                  <c:v>0.8</c:v>
                </c:pt>
                <c:pt idx="81">
                  <c:v>2</c:v>
                </c:pt>
                <c:pt idx="82">
                  <c:v>1.4</c:v>
                </c:pt>
                <c:pt idx="83">
                  <c:v>20.100000000000001</c:v>
                </c:pt>
                <c:pt idx="84">
                  <c:v>1.1299999999999999</c:v>
                </c:pt>
                <c:pt idx="85">
                  <c:v>2.9</c:v>
                </c:pt>
                <c:pt idx="86">
                  <c:v>1.32</c:v>
                </c:pt>
                <c:pt idx="87">
                  <c:v>2.7</c:v>
                </c:pt>
                <c:pt idx="88">
                  <c:v>5.2</c:v>
                </c:pt>
                <c:pt idx="89">
                  <c:v>3.8</c:v>
                </c:pt>
                <c:pt idx="90">
                  <c:v>9</c:v>
                </c:pt>
                <c:pt idx="91">
                  <c:v>8.4</c:v>
                </c:pt>
                <c:pt idx="92">
                  <c:v>2.1</c:v>
                </c:pt>
                <c:pt idx="93">
                  <c:v>5</c:v>
                </c:pt>
                <c:pt idx="94">
                  <c:v>4</c:v>
                </c:pt>
                <c:pt idx="95">
                  <c:v>11</c:v>
                </c:pt>
                <c:pt idx="96">
                  <c:v>11.7</c:v>
                </c:pt>
                <c:pt idx="97">
                  <c:v>9</c:v>
                </c:pt>
              </c:numCache>
            </c:numRef>
          </c:yVal>
          <c:smooth val="0"/>
          <c:extLst>
            <c:ext xmlns:c16="http://schemas.microsoft.com/office/drawing/2014/chart" uri="{C3380CC4-5D6E-409C-BE32-E72D297353CC}">
              <c16:uniqueId val="{00000003-54E4-4089-98F2-DB4B9EC56186}"/>
            </c:ext>
          </c:extLst>
        </c:ser>
        <c:ser>
          <c:idx val="4"/>
          <c:order val="3"/>
          <c:tx>
            <c:v>FinFET</c:v>
          </c:tx>
          <c:spPr>
            <a:ln w="25400" cap="rnd">
              <a:noFill/>
              <a:round/>
            </a:ln>
            <a:effectLst/>
          </c:spPr>
          <c:marker>
            <c:symbol val="triangle"/>
            <c:size val="10"/>
            <c:spPr>
              <a:solidFill>
                <a:srgbClr val="00B0F0">
                  <a:alpha val="50000"/>
                </a:srgbClr>
              </a:solidFill>
              <a:ln w="12700">
                <a:solidFill>
                  <a:schemeClr val="tx1"/>
                </a:solidFill>
              </a:ln>
              <a:effectLst/>
            </c:spPr>
          </c:marker>
          <c:xVal>
            <c:numRef>
              <c:f>Plot_NF_Vs_Frequency!$H$3:$H$8</c:f>
              <c:numCache>
                <c:formatCode>General</c:formatCode>
                <c:ptCount val="6"/>
                <c:pt idx="0">
                  <c:v>82</c:v>
                </c:pt>
                <c:pt idx="1">
                  <c:v>5</c:v>
                </c:pt>
                <c:pt idx="2">
                  <c:v>27</c:v>
                </c:pt>
                <c:pt idx="3">
                  <c:v>190</c:v>
                </c:pt>
                <c:pt idx="4">
                  <c:v>2.5</c:v>
                </c:pt>
                <c:pt idx="5">
                  <c:v>78.5</c:v>
                </c:pt>
              </c:numCache>
            </c:numRef>
          </c:xVal>
          <c:yVal>
            <c:numRef>
              <c:f>Plot_NF_Vs_Frequency!$I$3:$I$8</c:f>
              <c:numCache>
                <c:formatCode>General</c:formatCode>
                <c:ptCount val="6"/>
                <c:pt idx="0">
                  <c:v>17</c:v>
                </c:pt>
                <c:pt idx="1">
                  <c:v>4.3</c:v>
                </c:pt>
                <c:pt idx="2">
                  <c:v>2.2000000000000002</c:v>
                </c:pt>
                <c:pt idx="3">
                  <c:v>8.3000000000000007</c:v>
                </c:pt>
                <c:pt idx="4">
                  <c:v>12.4</c:v>
                </c:pt>
                <c:pt idx="5">
                  <c:v>5.5</c:v>
                </c:pt>
              </c:numCache>
            </c:numRef>
          </c:yVal>
          <c:smooth val="0"/>
          <c:extLst>
            <c:ext xmlns:c16="http://schemas.microsoft.com/office/drawing/2014/chart" uri="{C3380CC4-5D6E-409C-BE32-E72D297353CC}">
              <c16:uniqueId val="{00000005-54E4-4089-98F2-DB4B9EC56186}"/>
            </c:ext>
          </c:extLst>
        </c:ser>
        <c:dLbls>
          <c:showLegendKey val="0"/>
          <c:showVal val="0"/>
          <c:showCatName val="0"/>
          <c:showSerName val="0"/>
          <c:showPercent val="0"/>
          <c:showBubbleSize val="0"/>
        </c:dLbls>
        <c:axId val="691595407"/>
        <c:axId val="691600815"/>
      </c:scatterChart>
      <c:valAx>
        <c:axId val="691595407"/>
        <c:scaling>
          <c:orientation val="minMax"/>
          <c:max val="300"/>
          <c:min val="10"/>
        </c:scaling>
        <c:delete val="0"/>
        <c:axPos val="b"/>
        <c:majorGridlines>
          <c:spPr>
            <a:ln w="38100" cap="flat" cmpd="sng" algn="ctr">
              <a:solidFill>
                <a:schemeClr val="bg1">
                  <a:lumMod val="95000"/>
                </a:schemeClr>
              </a:solidFill>
              <a:prstDash val="sysDash"/>
              <a:round/>
            </a:ln>
            <a:effectLst/>
          </c:spPr>
        </c:majorGridlines>
        <c:minorGridlines>
          <c:spPr>
            <a:ln w="9525" cap="flat" cmpd="sng" algn="ctr">
              <a:solidFill>
                <a:schemeClr val="tx1">
                  <a:lumMod val="5000"/>
                  <a:lumOff val="95000"/>
                </a:schemeClr>
              </a:solidFill>
              <a:prstDash val="sysDash"/>
              <a:round/>
            </a:ln>
            <a:effectLst/>
          </c:spPr>
        </c:minorGridlines>
        <c:title>
          <c:tx>
            <c:rich>
              <a:bodyPr rot="0" spcFirstLastPara="1" vertOverflow="ellipsis" vert="horz" wrap="square" anchor="ctr" anchorCtr="1"/>
              <a:lstStyle/>
              <a:p>
                <a:pPr>
                  <a:defRPr sz="1500" b="1" i="0" u="none" strike="noStrike" kern="1200" baseline="0">
                    <a:solidFill>
                      <a:sysClr val="windowText" lastClr="000000"/>
                    </a:solidFill>
                    <a:latin typeface="Arial Narrow" panose="020B0606020202030204" pitchFamily="34" charset="0"/>
                    <a:ea typeface="+mn-ea"/>
                    <a:cs typeface="+mn-cs"/>
                  </a:defRPr>
                </a:pPr>
                <a:r>
                  <a:rPr lang="en-US" sz="1500"/>
                  <a:t>Frequency (GHz)</a:t>
                </a:r>
              </a:p>
            </c:rich>
          </c:tx>
          <c:overlay val="0"/>
          <c:spPr>
            <a:noFill/>
            <a:ln>
              <a:noFill/>
            </a:ln>
            <a:effectLst/>
          </c:spPr>
          <c:txPr>
            <a:bodyPr rot="0" spcFirstLastPara="1" vertOverflow="ellipsis" vert="horz" wrap="square" anchor="ctr" anchorCtr="1"/>
            <a:lstStyle/>
            <a:p>
              <a:pPr>
                <a:defRPr sz="1500" b="1" i="0" u="none" strike="noStrike" kern="1200" baseline="0">
                  <a:solidFill>
                    <a:sysClr val="windowText" lastClr="000000"/>
                  </a:solidFill>
                  <a:latin typeface="Arial Narrow" panose="020B0606020202030204" pitchFamily="34" charset="0"/>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500" b="1" i="0" u="none" strike="noStrike" kern="1200" baseline="0">
                <a:solidFill>
                  <a:sysClr val="windowText" lastClr="000000"/>
                </a:solidFill>
                <a:latin typeface="Arial Narrow" panose="020B0606020202030204" pitchFamily="34" charset="0"/>
                <a:ea typeface="+mn-ea"/>
                <a:cs typeface="+mn-cs"/>
              </a:defRPr>
            </a:pPr>
            <a:endParaRPr lang="en-US"/>
          </a:p>
        </c:txPr>
        <c:crossAx val="691600815"/>
        <c:crosses val="autoZero"/>
        <c:crossBetween val="midCat"/>
        <c:majorUnit val="20"/>
      </c:valAx>
      <c:valAx>
        <c:axId val="691600815"/>
        <c:scaling>
          <c:orientation val="minMax"/>
          <c:max val="20"/>
        </c:scaling>
        <c:delete val="0"/>
        <c:axPos val="l"/>
        <c:majorGridlines>
          <c:spPr>
            <a:ln w="38100" cap="flat" cmpd="sng" algn="ctr">
              <a:solidFill>
                <a:schemeClr val="bg1">
                  <a:lumMod val="95000"/>
                </a:schemeClr>
              </a:solidFill>
              <a:prstDash val="sysDash"/>
              <a:round/>
            </a:ln>
            <a:effectLst/>
          </c:spPr>
        </c:majorGridlines>
        <c:minorGridlines>
          <c:spPr>
            <a:ln w="9525" cap="flat" cmpd="sng" algn="ctr">
              <a:solidFill>
                <a:schemeClr val="tx1">
                  <a:lumMod val="5000"/>
                  <a:lumOff val="95000"/>
                </a:schemeClr>
              </a:solidFill>
              <a:prstDash val="sysDash"/>
              <a:round/>
            </a:ln>
            <a:effectLst/>
          </c:spPr>
        </c:minorGridlines>
        <c:title>
          <c:tx>
            <c:rich>
              <a:bodyPr rot="-5400000" spcFirstLastPara="1" vertOverflow="ellipsis" vert="horz" wrap="square" anchor="ctr" anchorCtr="1"/>
              <a:lstStyle/>
              <a:p>
                <a:pPr>
                  <a:defRPr sz="1500" b="1" i="0" u="none" strike="noStrike" kern="1200" baseline="0">
                    <a:solidFill>
                      <a:sysClr val="windowText" lastClr="000000"/>
                    </a:solidFill>
                    <a:latin typeface="Arial Narrow" panose="020B0606020202030204" pitchFamily="34" charset="0"/>
                    <a:ea typeface="+mn-ea"/>
                    <a:cs typeface="+mn-cs"/>
                  </a:defRPr>
                </a:pPr>
                <a:r>
                  <a:rPr lang="en-US" sz="1500"/>
                  <a:t>Noise Figure (dB)</a:t>
                </a:r>
              </a:p>
            </c:rich>
          </c:tx>
          <c:overlay val="0"/>
          <c:spPr>
            <a:noFill/>
            <a:ln>
              <a:noFill/>
            </a:ln>
            <a:effectLst/>
          </c:spPr>
          <c:txPr>
            <a:bodyPr rot="-5400000" spcFirstLastPara="1" vertOverflow="ellipsis" vert="horz" wrap="square" anchor="ctr" anchorCtr="1"/>
            <a:lstStyle/>
            <a:p>
              <a:pPr>
                <a:defRPr sz="1500" b="1" i="0" u="none" strike="noStrike" kern="1200" baseline="0">
                  <a:solidFill>
                    <a:sysClr val="windowText" lastClr="000000"/>
                  </a:solidFill>
                  <a:latin typeface="Arial Narrow" panose="020B0606020202030204" pitchFamily="34" charset="0"/>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500" b="1" i="0" u="none" strike="noStrike" kern="1200" baseline="0">
                <a:solidFill>
                  <a:sysClr val="windowText" lastClr="000000"/>
                </a:solidFill>
                <a:latin typeface="Arial Narrow" panose="020B0606020202030204" pitchFamily="34" charset="0"/>
                <a:ea typeface="+mn-ea"/>
                <a:cs typeface="+mn-cs"/>
              </a:defRPr>
            </a:pPr>
            <a:endParaRPr lang="en-US"/>
          </a:p>
        </c:txPr>
        <c:crossAx val="691595407"/>
        <c:crossesAt val="0.1"/>
        <c:crossBetween val="midCat"/>
      </c:valAx>
      <c:spPr>
        <a:noFill/>
        <a:ln w="12700">
          <a:solidFill>
            <a:schemeClr val="tx1"/>
          </a:solidFill>
        </a:ln>
        <a:effectLst/>
      </c:spPr>
    </c:plotArea>
    <c:legend>
      <c:legendPos val="t"/>
      <c:layout>
        <c:manualLayout>
          <c:xMode val="edge"/>
          <c:yMode val="edge"/>
          <c:x val="0.16485352506898104"/>
          <c:y val="6.5948521054284046E-2"/>
          <c:w val="0.74342450148539774"/>
          <c:h val="6.1946921444187515E-2"/>
        </c:manualLayout>
      </c:layout>
      <c:overlay val="0"/>
      <c:spPr>
        <a:solidFill>
          <a:schemeClr val="bg1"/>
        </a:solidFill>
        <a:ln w="19050">
          <a:solidFill>
            <a:schemeClr val="tx1"/>
          </a:solidFill>
        </a:ln>
        <a:effectLst/>
      </c:spPr>
      <c:txPr>
        <a:bodyPr rot="0" spcFirstLastPara="1" vertOverflow="ellipsis" vert="horz" wrap="square" anchor="ctr" anchorCtr="1"/>
        <a:lstStyle/>
        <a:p>
          <a:pPr>
            <a:defRPr sz="1500" b="1" i="0" u="none" strike="noStrike" kern="1200" baseline="0">
              <a:solidFill>
                <a:sysClr val="windowText" lastClr="000000"/>
              </a:solidFill>
              <a:latin typeface="Arial Narrow" panose="020B0606020202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b="1">
          <a:solidFill>
            <a:sysClr val="windowText" lastClr="000000"/>
          </a:solidFill>
          <a:latin typeface="Arial Narrow" panose="020B0606020202030204" pitchFamily="34" charset="0"/>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9215438</xdr:colOff>
      <xdr:row>9</xdr:row>
      <xdr:rowOff>61912</xdr:rowOff>
    </xdr:from>
    <xdr:to>
      <xdr:col>0</xdr:col>
      <xdr:colOff>9267688</xdr:colOff>
      <xdr:row>9</xdr:row>
      <xdr:rowOff>107631</xdr:rowOff>
    </xdr:to>
    <xdr:sp macro="" textlink="">
      <xdr:nvSpPr>
        <xdr:cNvPr id="4" name="TextBox 3">
          <a:extLst>
            <a:ext uri="{FF2B5EF4-FFF2-40B4-BE49-F238E27FC236}">
              <a16:creationId xmlns:a16="http://schemas.microsoft.com/office/drawing/2014/main" id="{A1C24CD7-FC1C-4CF6-B285-F0236A49571D}"/>
            </a:ext>
          </a:extLst>
        </xdr:cNvPr>
        <xdr:cNvSpPr txBox="1"/>
      </xdr:nvSpPr>
      <xdr:spPr>
        <a:xfrm>
          <a:off x="9220200" y="2362199"/>
          <a:ext cx="47488"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twoCellAnchor>
    <xdr:from>
      <xdr:col>0</xdr:col>
      <xdr:colOff>9215438</xdr:colOff>
      <xdr:row>9</xdr:row>
      <xdr:rowOff>61912</xdr:rowOff>
    </xdr:from>
    <xdr:to>
      <xdr:col>0</xdr:col>
      <xdr:colOff>9267688</xdr:colOff>
      <xdr:row>9</xdr:row>
      <xdr:rowOff>107631</xdr:rowOff>
    </xdr:to>
    <xdr:sp macro="" textlink="">
      <xdr:nvSpPr>
        <xdr:cNvPr id="5" name="TextBox 4">
          <a:extLst>
            <a:ext uri="{FF2B5EF4-FFF2-40B4-BE49-F238E27FC236}">
              <a16:creationId xmlns:a16="http://schemas.microsoft.com/office/drawing/2014/main" id="{1A79618D-ABC5-4AB4-8495-046314DC40B7}"/>
            </a:ext>
          </a:extLst>
        </xdr:cNvPr>
        <xdr:cNvSpPr txBox="1"/>
      </xdr:nvSpPr>
      <xdr:spPr>
        <a:xfrm>
          <a:off x="9215438" y="1905952"/>
          <a:ext cx="52250"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twoCellAnchor editAs="oneCell">
    <xdr:from>
      <xdr:col>0</xdr:col>
      <xdr:colOff>1663065</xdr:colOff>
      <xdr:row>0</xdr:row>
      <xdr:rowOff>139065</xdr:rowOff>
    </xdr:from>
    <xdr:to>
      <xdr:col>0</xdr:col>
      <xdr:colOff>3433392</xdr:colOff>
      <xdr:row>2</xdr:row>
      <xdr:rowOff>84165</xdr:rowOff>
    </xdr:to>
    <xdr:pic>
      <xdr:nvPicPr>
        <xdr:cNvPr id="7" name="Grafik 9">
          <a:extLst>
            <a:ext uri="{FF2B5EF4-FFF2-40B4-BE49-F238E27FC236}">
              <a16:creationId xmlns:a16="http://schemas.microsoft.com/office/drawing/2014/main" id="{9BDAE930-2253-43CA-ACD1-0A2D582FE6A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663065" y="139065"/>
          <a:ext cx="1770327" cy="280380"/>
        </a:xfrm>
        <a:prstGeom prst="rect">
          <a:avLst/>
        </a:prstGeom>
      </xdr:spPr>
    </xdr:pic>
    <xdr:clientData/>
  </xdr:twoCellAnchor>
  <xdr:twoCellAnchor editAs="oneCell">
    <xdr:from>
      <xdr:col>0</xdr:col>
      <xdr:colOff>9753600</xdr:colOff>
      <xdr:row>0</xdr:row>
      <xdr:rowOff>64734</xdr:rowOff>
    </xdr:from>
    <xdr:to>
      <xdr:col>0</xdr:col>
      <xdr:colOff>10401300</xdr:colOff>
      <xdr:row>3</xdr:row>
      <xdr:rowOff>8608</xdr:rowOff>
    </xdr:to>
    <xdr:pic>
      <xdr:nvPicPr>
        <xdr:cNvPr id="3" name="Picture 2">
          <a:extLst>
            <a:ext uri="{FF2B5EF4-FFF2-40B4-BE49-F238E27FC236}">
              <a16:creationId xmlns:a16="http://schemas.microsoft.com/office/drawing/2014/main" id="{15363287-16F0-0330-9649-40E6CB29BCEA}"/>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5745" t="24001" r="15800" b="23272"/>
        <a:stretch/>
      </xdr:blipFill>
      <xdr:spPr>
        <a:xfrm>
          <a:off x="9753600" y="64734"/>
          <a:ext cx="647700" cy="45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337553</xdr:colOff>
      <xdr:row>8</xdr:row>
      <xdr:rowOff>13286</xdr:rowOff>
    </xdr:from>
    <xdr:to>
      <xdr:col>21</xdr:col>
      <xdr:colOff>320735</xdr:colOff>
      <xdr:row>33</xdr:row>
      <xdr:rowOff>96744</xdr:rowOff>
    </xdr:to>
    <xdr:graphicFrame macro="">
      <xdr:nvGraphicFramePr>
        <xdr:cNvPr id="6" name="Chart 5">
          <a:extLst>
            <a:ext uri="{FF2B5EF4-FFF2-40B4-BE49-F238E27FC236}">
              <a16:creationId xmlns:a16="http://schemas.microsoft.com/office/drawing/2014/main" id="{31819B50-05DD-4BE2-8B3F-06E50FDD94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338914</xdr:colOff>
      <xdr:row>34</xdr:row>
      <xdr:rowOff>32335</xdr:rowOff>
    </xdr:from>
    <xdr:to>
      <xdr:col>21</xdr:col>
      <xdr:colOff>322096</xdr:colOff>
      <xdr:row>59</xdr:row>
      <xdr:rowOff>115794</xdr:rowOff>
    </xdr:to>
    <xdr:graphicFrame macro="">
      <xdr:nvGraphicFramePr>
        <xdr:cNvPr id="7" name="Chart 6">
          <a:extLst>
            <a:ext uri="{FF2B5EF4-FFF2-40B4-BE49-F238E27FC236}">
              <a16:creationId xmlns:a16="http://schemas.microsoft.com/office/drawing/2014/main" id="{108804B9-04F6-41A3-9568-B9888F61D08B}"/>
            </a:ext>
            <a:ext uri="{147F2762-F138-4A5C-976F-8EAC2B608ADB}">
              <a16:predDERef xmlns:a16="http://schemas.microsoft.com/office/drawing/2014/main" pred="{31819B50-05DD-4BE2-8B3F-06E50FDD94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0.12429</cdr:x>
      <cdr:y>0.5488</cdr:y>
    </cdr:from>
    <cdr:to>
      <cdr:x>0.91019</cdr:x>
      <cdr:y>0.79652</cdr:y>
    </cdr:to>
    <cdr:cxnSp macro="">
      <cdr:nvCxnSpPr>
        <cdr:cNvPr id="3" name="Straight Connector 2">
          <a:extLst xmlns:a="http://schemas.openxmlformats.org/drawingml/2006/main">
            <a:ext uri="{FF2B5EF4-FFF2-40B4-BE49-F238E27FC236}">
              <a16:creationId xmlns:a16="http://schemas.microsoft.com/office/drawing/2014/main" id="{154E3B3D-3465-4EB4-8045-91AA6B0438C9}"/>
            </a:ext>
          </a:extLst>
        </cdr:cNvPr>
        <cdr:cNvCxnSpPr/>
      </cdr:nvCxnSpPr>
      <cdr:spPr>
        <a:xfrm xmlns:a="http://schemas.openxmlformats.org/drawingml/2006/main" flipV="1">
          <a:off x="907129" y="2516902"/>
          <a:ext cx="5735782" cy="1136072"/>
        </a:xfrm>
        <a:prstGeom xmlns:a="http://schemas.openxmlformats.org/drawingml/2006/main" prst="line">
          <a:avLst/>
        </a:prstGeom>
        <a:ln xmlns:a="http://schemas.openxmlformats.org/drawingml/2006/main" w="25400">
          <a:solidFill>
            <a:srgbClr val="FF0066"/>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09C74-7C82-4BF9-B09D-27AC3417DFE0}">
  <dimension ref="A1:B80"/>
  <sheetViews>
    <sheetView tabSelected="1" zoomScaleNormal="100" workbookViewId="0">
      <selection activeCell="A9" sqref="A9"/>
    </sheetView>
  </sheetViews>
  <sheetFormatPr baseColWidth="10" defaultColWidth="8.83203125" defaultRowHeight="13" x14ac:dyDescent="0.15"/>
  <cols>
    <col min="1" max="1" width="176.33203125" style="11" customWidth="1"/>
    <col min="2" max="256" width="9.1640625" style="11"/>
    <col min="257" max="257" width="176.33203125" style="11" customWidth="1"/>
    <col min="258" max="512" width="9.1640625" style="11"/>
    <col min="513" max="513" width="176.33203125" style="11" customWidth="1"/>
    <col min="514" max="768" width="9.1640625" style="11"/>
    <col min="769" max="769" width="176.33203125" style="11" customWidth="1"/>
    <col min="770" max="1024" width="9.1640625" style="11"/>
    <col min="1025" max="1025" width="176.33203125" style="11" customWidth="1"/>
    <col min="1026" max="1280" width="9.1640625" style="11"/>
    <col min="1281" max="1281" width="176.33203125" style="11" customWidth="1"/>
    <col min="1282" max="1536" width="9.1640625" style="11"/>
    <col min="1537" max="1537" width="176.33203125" style="11" customWidth="1"/>
    <col min="1538" max="1792" width="9.1640625" style="11"/>
    <col min="1793" max="1793" width="176.33203125" style="11" customWidth="1"/>
    <col min="1794" max="2048" width="9.1640625" style="11"/>
    <col min="2049" max="2049" width="176.33203125" style="11" customWidth="1"/>
    <col min="2050" max="2304" width="9.1640625" style="11"/>
    <col min="2305" max="2305" width="176.33203125" style="11" customWidth="1"/>
    <col min="2306" max="2560" width="9.1640625" style="11"/>
    <col min="2561" max="2561" width="176.33203125" style="11" customWidth="1"/>
    <col min="2562" max="2816" width="9.1640625" style="11"/>
    <col min="2817" max="2817" width="176.33203125" style="11" customWidth="1"/>
    <col min="2818" max="3072" width="9.1640625" style="11"/>
    <col min="3073" max="3073" width="176.33203125" style="11" customWidth="1"/>
    <col min="3074" max="3328" width="9.1640625" style="11"/>
    <col min="3329" max="3329" width="176.33203125" style="11" customWidth="1"/>
    <col min="3330" max="3584" width="9.1640625" style="11"/>
    <col min="3585" max="3585" width="176.33203125" style="11" customWidth="1"/>
    <col min="3586" max="3840" width="9.1640625" style="11"/>
    <col min="3841" max="3841" width="176.33203125" style="11" customWidth="1"/>
    <col min="3842" max="4096" width="9.1640625" style="11"/>
    <col min="4097" max="4097" width="176.33203125" style="11" customWidth="1"/>
    <col min="4098" max="4352" width="9.1640625" style="11"/>
    <col min="4353" max="4353" width="176.33203125" style="11" customWidth="1"/>
    <col min="4354" max="4608" width="9.1640625" style="11"/>
    <col min="4609" max="4609" width="176.33203125" style="11" customWidth="1"/>
    <col min="4610" max="4864" width="9.1640625" style="11"/>
    <col min="4865" max="4865" width="176.33203125" style="11" customWidth="1"/>
    <col min="4866" max="5120" width="9.1640625" style="11"/>
    <col min="5121" max="5121" width="176.33203125" style="11" customWidth="1"/>
    <col min="5122" max="5376" width="9.1640625" style="11"/>
    <col min="5377" max="5377" width="176.33203125" style="11" customWidth="1"/>
    <col min="5378" max="5632" width="9.1640625" style="11"/>
    <col min="5633" max="5633" width="176.33203125" style="11" customWidth="1"/>
    <col min="5634" max="5888" width="9.1640625" style="11"/>
    <col min="5889" max="5889" width="176.33203125" style="11" customWidth="1"/>
    <col min="5890" max="6144" width="9.1640625" style="11"/>
    <col min="6145" max="6145" width="176.33203125" style="11" customWidth="1"/>
    <col min="6146" max="6400" width="9.1640625" style="11"/>
    <col min="6401" max="6401" width="176.33203125" style="11" customWidth="1"/>
    <col min="6402" max="6656" width="9.1640625" style="11"/>
    <col min="6657" max="6657" width="176.33203125" style="11" customWidth="1"/>
    <col min="6658" max="6912" width="9.1640625" style="11"/>
    <col min="6913" max="6913" width="176.33203125" style="11" customWidth="1"/>
    <col min="6914" max="7168" width="9.1640625" style="11"/>
    <col min="7169" max="7169" width="176.33203125" style="11" customWidth="1"/>
    <col min="7170" max="7424" width="9.1640625" style="11"/>
    <col min="7425" max="7425" width="176.33203125" style="11" customWidth="1"/>
    <col min="7426" max="7680" width="9.1640625" style="11"/>
    <col min="7681" max="7681" width="176.33203125" style="11" customWidth="1"/>
    <col min="7682" max="7936" width="9.1640625" style="11"/>
    <col min="7937" max="7937" width="176.33203125" style="11" customWidth="1"/>
    <col min="7938" max="8192" width="9.1640625" style="11"/>
    <col min="8193" max="8193" width="176.33203125" style="11" customWidth="1"/>
    <col min="8194" max="8448" width="9.1640625" style="11"/>
    <col min="8449" max="8449" width="176.33203125" style="11" customWidth="1"/>
    <col min="8450" max="8704" width="9.1640625" style="11"/>
    <col min="8705" max="8705" width="176.33203125" style="11" customWidth="1"/>
    <col min="8706" max="8960" width="9.1640625" style="11"/>
    <col min="8961" max="8961" width="176.33203125" style="11" customWidth="1"/>
    <col min="8962" max="9216" width="9.1640625" style="11"/>
    <col min="9217" max="9217" width="176.33203125" style="11" customWidth="1"/>
    <col min="9218" max="9472" width="9.1640625" style="11"/>
    <col min="9473" max="9473" width="176.33203125" style="11" customWidth="1"/>
    <col min="9474" max="9728" width="9.1640625" style="11"/>
    <col min="9729" max="9729" width="176.33203125" style="11" customWidth="1"/>
    <col min="9730" max="9984" width="9.1640625" style="11"/>
    <col min="9985" max="9985" width="176.33203125" style="11" customWidth="1"/>
    <col min="9986" max="10240" width="9.1640625" style="11"/>
    <col min="10241" max="10241" width="176.33203125" style="11" customWidth="1"/>
    <col min="10242" max="10496" width="9.1640625" style="11"/>
    <col min="10497" max="10497" width="176.33203125" style="11" customWidth="1"/>
    <col min="10498" max="10752" width="9.1640625" style="11"/>
    <col min="10753" max="10753" width="176.33203125" style="11" customWidth="1"/>
    <col min="10754" max="11008" width="9.1640625" style="11"/>
    <col min="11009" max="11009" width="176.33203125" style="11" customWidth="1"/>
    <col min="11010" max="11264" width="9.1640625" style="11"/>
    <col min="11265" max="11265" width="176.33203125" style="11" customWidth="1"/>
    <col min="11266" max="11520" width="9.1640625" style="11"/>
    <col min="11521" max="11521" width="176.33203125" style="11" customWidth="1"/>
    <col min="11522" max="11776" width="9.1640625" style="11"/>
    <col min="11777" max="11777" width="176.33203125" style="11" customWidth="1"/>
    <col min="11778" max="12032" width="9.1640625" style="11"/>
    <col min="12033" max="12033" width="176.33203125" style="11" customWidth="1"/>
    <col min="12034" max="12288" width="9.1640625" style="11"/>
    <col min="12289" max="12289" width="176.33203125" style="11" customWidth="1"/>
    <col min="12290" max="12544" width="9.1640625" style="11"/>
    <col min="12545" max="12545" width="176.33203125" style="11" customWidth="1"/>
    <col min="12546" max="12800" width="9.1640625" style="11"/>
    <col min="12801" max="12801" width="176.33203125" style="11" customWidth="1"/>
    <col min="12802" max="13056" width="9.1640625" style="11"/>
    <col min="13057" max="13057" width="176.33203125" style="11" customWidth="1"/>
    <col min="13058" max="13312" width="9.1640625" style="11"/>
    <col min="13313" max="13313" width="176.33203125" style="11" customWidth="1"/>
    <col min="13314" max="13568" width="9.1640625" style="11"/>
    <col min="13569" max="13569" width="176.33203125" style="11" customWidth="1"/>
    <col min="13570" max="13824" width="9.1640625" style="11"/>
    <col min="13825" max="13825" width="176.33203125" style="11" customWidth="1"/>
    <col min="13826" max="14080" width="9.1640625" style="11"/>
    <col min="14081" max="14081" width="176.33203125" style="11" customWidth="1"/>
    <col min="14082" max="14336" width="9.1640625" style="11"/>
    <col min="14337" max="14337" width="176.33203125" style="11" customWidth="1"/>
    <col min="14338" max="14592" width="9.1640625" style="11"/>
    <col min="14593" max="14593" width="176.33203125" style="11" customWidth="1"/>
    <col min="14594" max="14848" width="9.1640625" style="11"/>
    <col min="14849" max="14849" width="176.33203125" style="11" customWidth="1"/>
    <col min="14850" max="15104" width="9.1640625" style="11"/>
    <col min="15105" max="15105" width="176.33203125" style="11" customWidth="1"/>
    <col min="15106" max="15360" width="9.1640625" style="11"/>
    <col min="15361" max="15361" width="176.33203125" style="11" customWidth="1"/>
    <col min="15362" max="15616" width="9.1640625" style="11"/>
    <col min="15617" max="15617" width="176.33203125" style="11" customWidth="1"/>
    <col min="15618" max="15872" width="9.1640625" style="11"/>
    <col min="15873" max="15873" width="176.33203125" style="11" customWidth="1"/>
    <col min="15874" max="16128" width="9.1640625" style="11"/>
    <col min="16129" max="16129" width="176.33203125" style="11" customWidth="1"/>
    <col min="16130" max="16384" width="9.1640625" style="11"/>
  </cols>
  <sheetData>
    <row r="1" spans="1:2" s="10" customFormat="1" x14ac:dyDescent="0.15">
      <c r="A1" s="25" t="s">
        <v>0</v>
      </c>
    </row>
    <row r="2" spans="1:2" ht="14" x14ac:dyDescent="0.15">
      <c r="A2" s="26" t="s">
        <v>1</v>
      </c>
    </row>
    <row r="3" spans="1:2" x14ac:dyDescent="0.15">
      <c r="A3" s="27" t="s">
        <v>2</v>
      </c>
    </row>
    <row r="4" spans="1:2" x14ac:dyDescent="0.15">
      <c r="B4" s="12"/>
    </row>
    <row r="5" spans="1:2" ht="14" x14ac:dyDescent="0.15">
      <c r="A5" s="13" t="s">
        <v>3</v>
      </c>
    </row>
    <row r="6" spans="1:2" ht="56" x14ac:dyDescent="0.15">
      <c r="A6" s="14" t="s">
        <v>4</v>
      </c>
    </row>
    <row r="7" spans="1:2" x14ac:dyDescent="0.15">
      <c r="A7" s="15"/>
    </row>
    <row r="8" spans="1:2" ht="14" x14ac:dyDescent="0.15">
      <c r="A8" s="16" t="s">
        <v>5</v>
      </c>
    </row>
    <row r="9" spans="1:2" ht="14" x14ac:dyDescent="0.15">
      <c r="A9" s="17" t="s">
        <v>6</v>
      </c>
    </row>
    <row r="10" spans="1:2" x14ac:dyDescent="0.15">
      <c r="A10" s="15"/>
    </row>
    <row r="11" spans="1:2" ht="14" x14ac:dyDescent="0.15">
      <c r="A11" s="18" t="s">
        <v>7</v>
      </c>
    </row>
    <row r="12" spans="1:2" ht="14" x14ac:dyDescent="0.15">
      <c r="A12" s="17" t="s">
        <v>8</v>
      </c>
    </row>
    <row r="13" spans="1:2" x14ac:dyDescent="0.15">
      <c r="A13" s="15"/>
    </row>
    <row r="14" spans="1:2" x14ac:dyDescent="0.15">
      <c r="A14" s="19" t="s">
        <v>9</v>
      </c>
    </row>
    <row r="15" spans="1:2" ht="28" x14ac:dyDescent="0.15">
      <c r="A15" s="20" t="s">
        <v>10</v>
      </c>
    </row>
    <row r="16" spans="1:2" x14ac:dyDescent="0.15">
      <c r="A16" s="11" t="s">
        <v>11</v>
      </c>
    </row>
    <row r="18" spans="1:1" x14ac:dyDescent="0.15">
      <c r="A18" s="19" t="s">
        <v>12</v>
      </c>
    </row>
    <row r="19" spans="1:1" ht="14" x14ac:dyDescent="0.15">
      <c r="A19" s="20" t="s">
        <v>13</v>
      </c>
    </row>
    <row r="21" spans="1:1" ht="14" x14ac:dyDescent="0.15">
      <c r="A21" s="18" t="s">
        <v>14</v>
      </c>
    </row>
    <row r="22" spans="1:1" ht="14" x14ac:dyDescent="0.15">
      <c r="A22" s="21" t="s">
        <v>15</v>
      </c>
    </row>
    <row r="23" spans="1:1" ht="14" x14ac:dyDescent="0.15">
      <c r="A23" s="21" t="s">
        <v>16</v>
      </c>
    </row>
    <row r="26" spans="1:1" ht="14" x14ac:dyDescent="0.15">
      <c r="A26" s="17" t="s">
        <v>17</v>
      </c>
    </row>
    <row r="28" spans="1:1" ht="14" x14ac:dyDescent="0.15">
      <c r="A28" s="17" t="s">
        <v>18</v>
      </c>
    </row>
    <row r="29" spans="1:1" ht="29.25" customHeight="1" x14ac:dyDescent="0.15"/>
    <row r="30" spans="1:1" ht="36" customHeight="1" x14ac:dyDescent="0.15"/>
    <row r="31" spans="1:1" ht="31.5" customHeight="1" x14ac:dyDescent="0.15">
      <c r="A31" s="22" t="s">
        <v>19</v>
      </c>
    </row>
    <row r="32" spans="1:1" ht="28" x14ac:dyDescent="0.15">
      <c r="A32" s="20" t="s">
        <v>20</v>
      </c>
    </row>
    <row r="34" spans="1:1" ht="28" x14ac:dyDescent="0.15">
      <c r="A34" s="33" t="s">
        <v>21</v>
      </c>
    </row>
    <row r="36" spans="1:1" ht="28" x14ac:dyDescent="0.15">
      <c r="A36" s="33" t="s">
        <v>22</v>
      </c>
    </row>
    <row r="37" spans="1:1" x14ac:dyDescent="0.15">
      <c r="A37" s="20"/>
    </row>
    <row r="38" spans="1:1" x14ac:dyDescent="0.15">
      <c r="A38" s="23"/>
    </row>
    <row r="39" spans="1:1" x14ac:dyDescent="0.15">
      <c r="A39" s="20"/>
    </row>
    <row r="40" spans="1:1" x14ac:dyDescent="0.15">
      <c r="A40" s="20"/>
    </row>
    <row r="41" spans="1:1" x14ac:dyDescent="0.15">
      <c r="A41" s="20"/>
    </row>
    <row r="42" spans="1:1" x14ac:dyDescent="0.15">
      <c r="A42" s="20"/>
    </row>
    <row r="43" spans="1:1" x14ac:dyDescent="0.15">
      <c r="A43" s="20"/>
    </row>
    <row r="44" spans="1:1" x14ac:dyDescent="0.15">
      <c r="A44" s="20"/>
    </row>
    <row r="45" spans="1:1" x14ac:dyDescent="0.15">
      <c r="A45" s="20"/>
    </row>
    <row r="46" spans="1:1" x14ac:dyDescent="0.15">
      <c r="A46" s="20"/>
    </row>
    <row r="47" spans="1:1" x14ac:dyDescent="0.15">
      <c r="A47" s="20"/>
    </row>
    <row r="48" spans="1:1" x14ac:dyDescent="0.15">
      <c r="A48" s="20"/>
    </row>
    <row r="49" spans="1:1" x14ac:dyDescent="0.15">
      <c r="A49" s="20"/>
    </row>
    <row r="50" spans="1:1" x14ac:dyDescent="0.15">
      <c r="A50" s="20"/>
    </row>
    <row r="51" spans="1:1" x14ac:dyDescent="0.15">
      <c r="A51" s="20"/>
    </row>
    <row r="52" spans="1:1" x14ac:dyDescent="0.15">
      <c r="A52" s="20"/>
    </row>
    <row r="53" spans="1:1" x14ac:dyDescent="0.15">
      <c r="A53" s="20"/>
    </row>
    <row r="54" spans="1:1" x14ac:dyDescent="0.15">
      <c r="A54" s="20"/>
    </row>
    <row r="67" spans="1:1" x14ac:dyDescent="0.15">
      <c r="A67" s="24"/>
    </row>
    <row r="68" spans="1:1" x14ac:dyDescent="0.15">
      <c r="A68" s="24"/>
    </row>
    <row r="69" spans="1:1" x14ac:dyDescent="0.15">
      <c r="A69" s="24"/>
    </row>
    <row r="70" spans="1:1" x14ac:dyDescent="0.15">
      <c r="A70" s="24"/>
    </row>
    <row r="71" spans="1:1" x14ac:dyDescent="0.15">
      <c r="A71" s="24"/>
    </row>
    <row r="72" spans="1:1" x14ac:dyDescent="0.15">
      <c r="A72" s="24"/>
    </row>
    <row r="73" spans="1:1" x14ac:dyDescent="0.15">
      <c r="A73" s="24"/>
    </row>
    <row r="74" spans="1:1" x14ac:dyDescent="0.15">
      <c r="A74" s="24"/>
    </row>
    <row r="75" spans="1:1" x14ac:dyDescent="0.15">
      <c r="A75" s="24"/>
    </row>
    <row r="76" spans="1:1" x14ac:dyDescent="0.15">
      <c r="A76" s="24"/>
    </row>
    <row r="77" spans="1:1" x14ac:dyDescent="0.15">
      <c r="A77" s="24"/>
    </row>
    <row r="78" spans="1:1" x14ac:dyDescent="0.15">
      <c r="A78" s="24"/>
    </row>
    <row r="79" spans="1:1" x14ac:dyDescent="0.15">
      <c r="A79" s="24"/>
    </row>
    <row r="80" spans="1:1" x14ac:dyDescent="0.15">
      <c r="A80" s="24"/>
    </row>
  </sheetData>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57AED-B97D-4550-B0AC-0083DF185BBB}">
  <dimension ref="A1:R473"/>
  <sheetViews>
    <sheetView zoomScale="90" zoomScaleNormal="90" workbookViewId="0">
      <pane ySplit="1" topLeftCell="A2" activePane="bottomLeft" state="frozen"/>
      <selection pane="bottomLeft" activeCell="V309" sqref="V309"/>
    </sheetView>
  </sheetViews>
  <sheetFormatPr baseColWidth="10" defaultColWidth="8.83203125" defaultRowHeight="15" x14ac:dyDescent="0.2"/>
  <cols>
    <col min="1" max="1" width="15.5" customWidth="1"/>
    <col min="5" max="5" width="125.5" bestFit="1" customWidth="1"/>
    <col min="6" max="6" width="9.6640625" bestFit="1" customWidth="1"/>
    <col min="7" max="7" width="12.5" customWidth="1"/>
    <col min="18" max="18" width="18.6640625" bestFit="1" customWidth="1"/>
  </cols>
  <sheetData>
    <row r="1" spans="1:18" ht="16" thickBot="1" x14ac:dyDescent="0.25">
      <c r="A1" s="1" t="s">
        <v>23</v>
      </c>
      <c r="B1" s="2" t="s">
        <v>24</v>
      </c>
      <c r="C1" s="2" t="s">
        <v>25</v>
      </c>
      <c r="D1" s="2" t="s">
        <v>26</v>
      </c>
      <c r="E1" s="2" t="s">
        <v>27</v>
      </c>
      <c r="F1" s="2" t="s">
        <v>28</v>
      </c>
      <c r="G1" s="2" t="s">
        <v>29</v>
      </c>
      <c r="H1" s="2" t="s">
        <v>30</v>
      </c>
      <c r="I1" s="3" t="s">
        <v>31</v>
      </c>
      <c r="J1" s="34" t="s">
        <v>32</v>
      </c>
      <c r="K1" s="34" t="s">
        <v>33</v>
      </c>
      <c r="L1" s="34" t="s">
        <v>34</v>
      </c>
      <c r="M1" s="34" t="s">
        <v>35</v>
      </c>
      <c r="N1" s="34" t="s">
        <v>36</v>
      </c>
      <c r="O1" s="34" t="s">
        <v>37</v>
      </c>
      <c r="P1" s="34" t="s">
        <v>38</v>
      </c>
      <c r="Q1" s="34" t="s">
        <v>39</v>
      </c>
      <c r="R1" s="4" t="s">
        <v>40</v>
      </c>
    </row>
    <row r="2" spans="1:18" x14ac:dyDescent="0.2">
      <c r="A2" t="s">
        <v>41</v>
      </c>
      <c r="B2">
        <v>2022</v>
      </c>
      <c r="C2">
        <v>11</v>
      </c>
      <c r="D2" t="s">
        <v>42</v>
      </c>
      <c r="E2" t="s">
        <v>43</v>
      </c>
      <c r="F2" t="s">
        <v>44</v>
      </c>
      <c r="G2">
        <v>65</v>
      </c>
      <c r="H2">
        <v>4.4000000000000004</v>
      </c>
      <c r="I2">
        <v>0.74</v>
      </c>
    </row>
    <row r="3" spans="1:18" x14ac:dyDescent="0.2">
      <c r="A3" t="s">
        <v>45</v>
      </c>
      <c r="B3">
        <v>2021</v>
      </c>
      <c r="C3">
        <v>7</v>
      </c>
      <c r="D3" t="s">
        <v>46</v>
      </c>
      <c r="E3" t="s">
        <v>47</v>
      </c>
      <c r="F3" t="s">
        <v>44</v>
      </c>
      <c r="G3">
        <v>40</v>
      </c>
      <c r="H3">
        <v>4</v>
      </c>
      <c r="I3">
        <v>0.75</v>
      </c>
    </row>
    <row r="4" spans="1:18" x14ac:dyDescent="0.2">
      <c r="A4" t="s">
        <v>48</v>
      </c>
      <c r="B4">
        <v>2022</v>
      </c>
      <c r="C4">
        <v>6</v>
      </c>
      <c r="D4" t="s">
        <v>49</v>
      </c>
      <c r="E4" t="s">
        <v>50</v>
      </c>
      <c r="F4" t="s">
        <v>51</v>
      </c>
      <c r="G4">
        <v>130</v>
      </c>
      <c r="H4">
        <v>8.5</v>
      </c>
      <c r="I4">
        <v>0.8</v>
      </c>
    </row>
    <row r="5" spans="1:18" x14ac:dyDescent="0.2">
      <c r="A5" t="s">
        <v>52</v>
      </c>
      <c r="B5">
        <v>2023</v>
      </c>
      <c r="C5">
        <v>9</v>
      </c>
      <c r="D5" t="s">
        <v>53</v>
      </c>
      <c r="E5" t="s">
        <v>54</v>
      </c>
      <c r="F5" t="s">
        <v>55</v>
      </c>
      <c r="G5">
        <v>130</v>
      </c>
      <c r="H5">
        <v>6</v>
      </c>
      <c r="I5">
        <v>1.1499999999999999</v>
      </c>
    </row>
    <row r="6" spans="1:18" x14ac:dyDescent="0.2">
      <c r="A6" t="s">
        <v>56</v>
      </c>
      <c r="B6">
        <v>2018</v>
      </c>
      <c r="C6">
        <v>6</v>
      </c>
      <c r="D6" t="s">
        <v>57</v>
      </c>
      <c r="E6" t="s">
        <v>58</v>
      </c>
      <c r="F6" t="s">
        <v>51</v>
      </c>
      <c r="G6">
        <v>45</v>
      </c>
      <c r="H6">
        <v>27</v>
      </c>
      <c r="I6">
        <v>1.4</v>
      </c>
    </row>
    <row r="7" spans="1:18" ht="16" x14ac:dyDescent="0.2">
      <c r="A7" t="s">
        <v>59</v>
      </c>
      <c r="B7">
        <v>2022</v>
      </c>
      <c r="C7">
        <v>4</v>
      </c>
      <c r="D7" t="s">
        <v>60</v>
      </c>
      <c r="E7" s="5" t="s">
        <v>61</v>
      </c>
      <c r="F7" t="s">
        <v>44</v>
      </c>
      <c r="G7">
        <v>65</v>
      </c>
      <c r="H7">
        <v>1</v>
      </c>
      <c r="I7">
        <v>1.56</v>
      </c>
    </row>
    <row r="8" spans="1:18" ht="16" x14ac:dyDescent="0.2">
      <c r="A8" t="s">
        <v>62</v>
      </c>
      <c r="B8">
        <v>2022</v>
      </c>
      <c r="C8">
        <v>2</v>
      </c>
      <c r="D8" t="s">
        <v>63</v>
      </c>
      <c r="E8" s="5" t="s">
        <v>64</v>
      </c>
      <c r="F8" t="s">
        <v>44</v>
      </c>
      <c r="G8">
        <v>28</v>
      </c>
      <c r="H8">
        <v>5</v>
      </c>
      <c r="I8">
        <v>1.7</v>
      </c>
    </row>
    <row r="9" spans="1:18" x14ac:dyDescent="0.2">
      <c r="A9" t="s">
        <v>59</v>
      </c>
      <c r="B9">
        <v>2023</v>
      </c>
      <c r="C9">
        <v>1</v>
      </c>
      <c r="D9" t="s">
        <v>65</v>
      </c>
      <c r="E9" t="s">
        <v>66</v>
      </c>
      <c r="F9" t="s">
        <v>44</v>
      </c>
      <c r="G9">
        <v>65</v>
      </c>
      <c r="H9">
        <v>16</v>
      </c>
      <c r="I9">
        <v>1.7</v>
      </c>
      <c r="R9" t="s">
        <v>67</v>
      </c>
    </row>
    <row r="10" spans="1:18" x14ac:dyDescent="0.2">
      <c r="A10" t="s">
        <v>45</v>
      </c>
      <c r="B10">
        <v>2020</v>
      </c>
      <c r="C10">
        <v>5</v>
      </c>
      <c r="D10" t="s">
        <v>68</v>
      </c>
      <c r="E10" t="s">
        <v>69</v>
      </c>
      <c r="F10" t="s">
        <v>51</v>
      </c>
      <c r="G10">
        <v>22</v>
      </c>
      <c r="H10">
        <v>28</v>
      </c>
      <c r="I10">
        <v>1.73</v>
      </c>
    </row>
    <row r="11" spans="1:18" x14ac:dyDescent="0.2">
      <c r="A11" t="s">
        <v>48</v>
      </c>
      <c r="B11">
        <v>2022</v>
      </c>
      <c r="C11">
        <v>6</v>
      </c>
      <c r="D11" t="s">
        <v>70</v>
      </c>
      <c r="E11" t="s">
        <v>71</v>
      </c>
      <c r="F11" t="s">
        <v>44</v>
      </c>
      <c r="G11">
        <v>65</v>
      </c>
      <c r="H11">
        <v>29.1</v>
      </c>
      <c r="I11">
        <v>1.9</v>
      </c>
    </row>
    <row r="12" spans="1:18" x14ac:dyDescent="0.2">
      <c r="A12" t="s">
        <v>59</v>
      </c>
      <c r="B12">
        <v>2022</v>
      </c>
      <c r="C12">
        <v>3</v>
      </c>
      <c r="D12" t="s">
        <v>72</v>
      </c>
      <c r="E12" t="s">
        <v>73</v>
      </c>
      <c r="F12" t="s">
        <v>44</v>
      </c>
      <c r="G12">
        <v>65</v>
      </c>
      <c r="H12">
        <v>0.1</v>
      </c>
      <c r="I12">
        <v>2</v>
      </c>
    </row>
    <row r="13" spans="1:18" x14ac:dyDescent="0.2">
      <c r="A13" t="s">
        <v>48</v>
      </c>
      <c r="B13">
        <v>2022</v>
      </c>
      <c r="C13">
        <v>6</v>
      </c>
      <c r="D13" t="s">
        <v>74</v>
      </c>
      <c r="E13" t="s">
        <v>75</v>
      </c>
      <c r="F13" t="s">
        <v>51</v>
      </c>
      <c r="G13">
        <v>22</v>
      </c>
      <c r="H13">
        <v>17</v>
      </c>
      <c r="I13">
        <v>2</v>
      </c>
    </row>
    <row r="14" spans="1:18" x14ac:dyDescent="0.2">
      <c r="A14" t="s">
        <v>45</v>
      </c>
      <c r="B14">
        <v>2021</v>
      </c>
      <c r="C14" t="s">
        <v>76</v>
      </c>
      <c r="D14" t="s">
        <v>77</v>
      </c>
      <c r="E14" t="s">
        <v>78</v>
      </c>
      <c r="F14" t="s">
        <v>44</v>
      </c>
      <c r="G14">
        <v>65</v>
      </c>
      <c r="H14">
        <v>20</v>
      </c>
      <c r="I14">
        <v>2</v>
      </c>
    </row>
    <row r="15" spans="1:18" x14ac:dyDescent="0.2">
      <c r="A15" t="s">
        <v>79</v>
      </c>
      <c r="B15">
        <v>2021</v>
      </c>
      <c r="C15">
        <v>1</v>
      </c>
      <c r="D15" t="s">
        <v>80</v>
      </c>
      <c r="E15" t="s">
        <v>81</v>
      </c>
      <c r="F15" t="s">
        <v>55</v>
      </c>
      <c r="G15">
        <v>130</v>
      </c>
      <c r="H15">
        <v>25</v>
      </c>
      <c r="I15">
        <v>2</v>
      </c>
    </row>
    <row r="16" spans="1:18" x14ac:dyDescent="0.2">
      <c r="A16" t="s">
        <v>48</v>
      </c>
      <c r="B16">
        <v>2022</v>
      </c>
      <c r="C16">
        <v>6</v>
      </c>
      <c r="D16" t="s">
        <v>74</v>
      </c>
      <c r="E16" t="s">
        <v>75</v>
      </c>
      <c r="F16" t="s">
        <v>51</v>
      </c>
      <c r="G16">
        <v>22</v>
      </c>
      <c r="H16">
        <v>26</v>
      </c>
      <c r="I16">
        <v>2</v>
      </c>
    </row>
    <row r="17" spans="1:18" x14ac:dyDescent="0.2">
      <c r="A17" t="s">
        <v>59</v>
      </c>
      <c r="B17">
        <v>2020</v>
      </c>
      <c r="C17">
        <v>10</v>
      </c>
      <c r="D17" t="s">
        <v>82</v>
      </c>
      <c r="E17" t="s">
        <v>83</v>
      </c>
      <c r="F17" t="s">
        <v>51</v>
      </c>
      <c r="G17">
        <v>22</v>
      </c>
      <c r="H17">
        <v>25</v>
      </c>
      <c r="I17">
        <v>2.08</v>
      </c>
    </row>
    <row r="18" spans="1:18" x14ac:dyDescent="0.2">
      <c r="A18" t="s">
        <v>84</v>
      </c>
      <c r="B18">
        <v>2023</v>
      </c>
      <c r="C18">
        <v>4</v>
      </c>
      <c r="D18" t="s">
        <v>85</v>
      </c>
      <c r="E18" t="s">
        <v>86</v>
      </c>
      <c r="F18" t="s">
        <v>44</v>
      </c>
      <c r="G18">
        <v>130</v>
      </c>
      <c r="H18">
        <v>0.433</v>
      </c>
      <c r="I18">
        <v>2.1</v>
      </c>
    </row>
    <row r="19" spans="1:18" x14ac:dyDescent="0.2">
      <c r="A19" t="s">
        <v>87</v>
      </c>
      <c r="B19">
        <v>2023</v>
      </c>
      <c r="C19">
        <v>4</v>
      </c>
      <c r="D19" t="s">
        <v>88</v>
      </c>
      <c r="E19" t="s">
        <v>89</v>
      </c>
      <c r="F19" t="s">
        <v>51</v>
      </c>
      <c r="G19">
        <v>22</v>
      </c>
      <c r="H19">
        <v>27.5</v>
      </c>
      <c r="I19">
        <v>2.1</v>
      </c>
    </row>
    <row r="20" spans="1:18" ht="16" x14ac:dyDescent="0.2">
      <c r="A20" t="s">
        <v>45</v>
      </c>
      <c r="B20">
        <v>2020</v>
      </c>
      <c r="C20">
        <v>5</v>
      </c>
      <c r="D20" t="s">
        <v>70</v>
      </c>
      <c r="E20" s="5" t="s">
        <v>90</v>
      </c>
      <c r="F20" t="s">
        <v>51</v>
      </c>
      <c r="G20">
        <v>45</v>
      </c>
      <c r="H20">
        <v>38</v>
      </c>
      <c r="I20">
        <v>2.1</v>
      </c>
      <c r="R20" t="s">
        <v>91</v>
      </c>
    </row>
    <row r="21" spans="1:18" x14ac:dyDescent="0.2">
      <c r="A21" t="s">
        <v>92</v>
      </c>
      <c r="B21">
        <v>2022</v>
      </c>
      <c r="C21">
        <v>6</v>
      </c>
      <c r="D21" t="s">
        <v>93</v>
      </c>
      <c r="E21" t="s">
        <v>94</v>
      </c>
      <c r="F21" t="s">
        <v>44</v>
      </c>
      <c r="G21">
        <v>90</v>
      </c>
      <c r="H21">
        <v>2.4</v>
      </c>
      <c r="I21">
        <v>2.13</v>
      </c>
    </row>
    <row r="22" spans="1:18" x14ac:dyDescent="0.2">
      <c r="A22" t="s">
        <v>59</v>
      </c>
      <c r="B22">
        <v>2020</v>
      </c>
      <c r="C22">
        <v>10</v>
      </c>
      <c r="D22" t="s">
        <v>82</v>
      </c>
      <c r="E22" t="s">
        <v>83</v>
      </c>
      <c r="F22" t="s">
        <v>51</v>
      </c>
      <c r="G22">
        <v>22</v>
      </c>
      <c r="H22">
        <v>26</v>
      </c>
      <c r="I22">
        <v>2.2000000000000002</v>
      </c>
    </row>
    <row r="23" spans="1:18" x14ac:dyDescent="0.2">
      <c r="A23" t="s">
        <v>59</v>
      </c>
      <c r="B23">
        <v>2020</v>
      </c>
      <c r="C23">
        <v>10</v>
      </c>
      <c r="D23" t="s">
        <v>82</v>
      </c>
      <c r="E23" t="s">
        <v>83</v>
      </c>
      <c r="F23" t="s">
        <v>51</v>
      </c>
      <c r="G23">
        <v>22</v>
      </c>
      <c r="H23">
        <v>25</v>
      </c>
      <c r="I23">
        <v>2.25</v>
      </c>
    </row>
    <row r="24" spans="1:18" x14ac:dyDescent="0.2">
      <c r="A24" t="s">
        <v>56</v>
      </c>
      <c r="B24">
        <v>2020</v>
      </c>
      <c r="C24">
        <v>8</v>
      </c>
      <c r="D24" t="s">
        <v>95</v>
      </c>
      <c r="E24" t="s">
        <v>96</v>
      </c>
      <c r="F24" t="s">
        <v>44</v>
      </c>
      <c r="G24">
        <v>65</v>
      </c>
      <c r="H24">
        <v>26</v>
      </c>
      <c r="I24">
        <v>2.27</v>
      </c>
    </row>
    <row r="25" spans="1:18" ht="16" x14ac:dyDescent="0.2">
      <c r="A25" t="s">
        <v>56</v>
      </c>
      <c r="B25">
        <v>2021</v>
      </c>
      <c r="C25">
        <v>6</v>
      </c>
      <c r="D25" t="s">
        <v>97</v>
      </c>
      <c r="E25" s="5" t="s">
        <v>98</v>
      </c>
      <c r="F25" t="s">
        <v>44</v>
      </c>
      <c r="G25">
        <v>65</v>
      </c>
      <c r="H25">
        <v>11</v>
      </c>
      <c r="I25">
        <v>2.2999999999999998</v>
      </c>
    </row>
    <row r="26" spans="1:18" x14ac:dyDescent="0.2">
      <c r="A26" t="s">
        <v>99</v>
      </c>
      <c r="B26">
        <v>2022</v>
      </c>
      <c r="C26">
        <v>9</v>
      </c>
      <c r="D26" t="s">
        <v>100</v>
      </c>
      <c r="E26" t="s">
        <v>101</v>
      </c>
      <c r="F26" t="s">
        <v>102</v>
      </c>
      <c r="G26">
        <v>130</v>
      </c>
      <c r="H26">
        <v>20</v>
      </c>
      <c r="I26">
        <v>2.2999999999999998</v>
      </c>
    </row>
    <row r="27" spans="1:18" x14ac:dyDescent="0.2">
      <c r="A27" t="s">
        <v>103</v>
      </c>
      <c r="B27">
        <v>2023</v>
      </c>
      <c r="C27">
        <v>3</v>
      </c>
      <c r="D27" t="s">
        <v>57</v>
      </c>
      <c r="E27" t="s">
        <v>104</v>
      </c>
      <c r="F27" t="s">
        <v>44</v>
      </c>
      <c r="G27">
        <v>31</v>
      </c>
      <c r="H27">
        <v>25</v>
      </c>
      <c r="I27">
        <v>2.4</v>
      </c>
    </row>
    <row r="28" spans="1:18" x14ac:dyDescent="0.2">
      <c r="A28" t="s">
        <v>105</v>
      </c>
      <c r="B28">
        <v>2021</v>
      </c>
      <c r="C28">
        <v>6</v>
      </c>
      <c r="D28" t="s">
        <v>106</v>
      </c>
      <c r="E28" t="s">
        <v>107</v>
      </c>
      <c r="F28" t="s">
        <v>51</v>
      </c>
      <c r="G28">
        <v>45</v>
      </c>
      <c r="H28">
        <v>27.7</v>
      </c>
      <c r="I28">
        <v>2.4</v>
      </c>
    </row>
    <row r="29" spans="1:18" x14ac:dyDescent="0.2">
      <c r="A29" t="s">
        <v>108</v>
      </c>
      <c r="B29">
        <v>2023</v>
      </c>
      <c r="C29">
        <v>4</v>
      </c>
      <c r="D29" t="s">
        <v>106</v>
      </c>
      <c r="E29" t="s">
        <v>109</v>
      </c>
      <c r="F29" t="s">
        <v>51</v>
      </c>
      <c r="G29">
        <v>45</v>
      </c>
      <c r="H29">
        <v>27.7</v>
      </c>
      <c r="I29">
        <v>2.4</v>
      </c>
    </row>
    <row r="30" spans="1:18" ht="16" x14ac:dyDescent="0.2">
      <c r="A30" t="s">
        <v>105</v>
      </c>
      <c r="B30">
        <v>2022</v>
      </c>
      <c r="C30">
        <v>2</v>
      </c>
      <c r="D30" t="s">
        <v>110</v>
      </c>
      <c r="E30" s="5" t="s">
        <v>111</v>
      </c>
      <c r="F30" t="s">
        <v>44</v>
      </c>
      <c r="G30">
        <v>65</v>
      </c>
      <c r="H30">
        <v>30</v>
      </c>
      <c r="I30">
        <v>2.4</v>
      </c>
    </row>
    <row r="31" spans="1:18" ht="16" x14ac:dyDescent="0.2">
      <c r="A31" t="s">
        <v>112</v>
      </c>
      <c r="B31">
        <v>2022</v>
      </c>
      <c r="C31">
        <v>1</v>
      </c>
      <c r="D31" t="s">
        <v>113</v>
      </c>
      <c r="E31" s="5" t="s">
        <v>114</v>
      </c>
      <c r="F31" t="s">
        <v>44</v>
      </c>
      <c r="G31">
        <v>28</v>
      </c>
      <c r="H31">
        <v>0.6</v>
      </c>
      <c r="I31">
        <v>2.5</v>
      </c>
    </row>
    <row r="32" spans="1:18" x14ac:dyDescent="0.2">
      <c r="A32" t="s">
        <v>115</v>
      </c>
      <c r="B32">
        <v>2022</v>
      </c>
      <c r="C32">
        <v>11</v>
      </c>
      <c r="D32" t="s">
        <v>116</v>
      </c>
      <c r="E32" t="s">
        <v>117</v>
      </c>
      <c r="F32" t="s">
        <v>44</v>
      </c>
      <c r="G32">
        <v>180</v>
      </c>
      <c r="H32">
        <v>1.4</v>
      </c>
      <c r="I32">
        <v>2.5</v>
      </c>
    </row>
    <row r="33" spans="1:9" x14ac:dyDescent="0.2">
      <c r="A33" t="s">
        <v>48</v>
      </c>
      <c r="B33">
        <v>2022</v>
      </c>
      <c r="C33">
        <v>6</v>
      </c>
      <c r="D33" t="s">
        <v>74</v>
      </c>
      <c r="E33" t="s">
        <v>75</v>
      </c>
      <c r="F33" t="s">
        <v>51</v>
      </c>
      <c r="G33">
        <v>22</v>
      </c>
      <c r="H33">
        <v>6</v>
      </c>
      <c r="I33">
        <v>2.5</v>
      </c>
    </row>
    <row r="34" spans="1:9" x14ac:dyDescent="0.2">
      <c r="A34" t="s">
        <v>118</v>
      </c>
      <c r="B34">
        <v>2022</v>
      </c>
      <c r="C34">
        <v>8</v>
      </c>
      <c r="D34" t="s">
        <v>119</v>
      </c>
      <c r="E34" t="s">
        <v>120</v>
      </c>
      <c r="F34" t="s">
        <v>44</v>
      </c>
      <c r="G34">
        <v>130</v>
      </c>
      <c r="H34">
        <v>10</v>
      </c>
      <c r="I34">
        <v>2.5</v>
      </c>
    </row>
    <row r="35" spans="1:9" x14ac:dyDescent="0.2">
      <c r="A35" t="s">
        <v>48</v>
      </c>
      <c r="B35">
        <v>2022</v>
      </c>
      <c r="C35">
        <v>6</v>
      </c>
      <c r="D35" t="s">
        <v>121</v>
      </c>
      <c r="E35" t="s">
        <v>122</v>
      </c>
      <c r="F35" t="s">
        <v>44</v>
      </c>
      <c r="G35">
        <v>90</v>
      </c>
      <c r="H35">
        <v>31</v>
      </c>
      <c r="I35">
        <v>2.5</v>
      </c>
    </row>
    <row r="36" spans="1:9" x14ac:dyDescent="0.2">
      <c r="A36" t="s">
        <v>87</v>
      </c>
      <c r="B36">
        <v>2022</v>
      </c>
      <c r="C36" t="s">
        <v>76</v>
      </c>
      <c r="D36" t="s">
        <v>121</v>
      </c>
      <c r="E36" t="s">
        <v>123</v>
      </c>
      <c r="F36" t="s">
        <v>44</v>
      </c>
      <c r="G36">
        <v>90</v>
      </c>
      <c r="H36">
        <v>31</v>
      </c>
      <c r="I36">
        <v>2.5</v>
      </c>
    </row>
    <row r="37" spans="1:9" x14ac:dyDescent="0.2">
      <c r="A37" t="s">
        <v>124</v>
      </c>
      <c r="B37">
        <v>2020</v>
      </c>
      <c r="C37">
        <v>11</v>
      </c>
      <c r="D37" t="s">
        <v>125</v>
      </c>
      <c r="E37" t="s">
        <v>126</v>
      </c>
      <c r="F37" t="s">
        <v>55</v>
      </c>
      <c r="G37">
        <v>180</v>
      </c>
      <c r="H37">
        <v>32.5</v>
      </c>
      <c r="I37">
        <v>2.5</v>
      </c>
    </row>
    <row r="38" spans="1:9" x14ac:dyDescent="0.2">
      <c r="A38" t="s">
        <v>52</v>
      </c>
      <c r="B38">
        <v>2022</v>
      </c>
      <c r="C38">
        <v>9</v>
      </c>
      <c r="D38" t="s">
        <v>127</v>
      </c>
      <c r="E38" t="s">
        <v>128</v>
      </c>
      <c r="F38" t="s">
        <v>51</v>
      </c>
      <c r="G38">
        <v>22</v>
      </c>
      <c r="H38">
        <v>39</v>
      </c>
      <c r="I38">
        <v>2.5</v>
      </c>
    </row>
    <row r="39" spans="1:9" x14ac:dyDescent="0.2">
      <c r="A39" t="s">
        <v>59</v>
      </c>
      <c r="B39">
        <v>2023</v>
      </c>
      <c r="C39">
        <v>3</v>
      </c>
      <c r="D39" t="s">
        <v>129</v>
      </c>
      <c r="E39" t="s">
        <v>130</v>
      </c>
      <c r="F39" t="s">
        <v>51</v>
      </c>
      <c r="G39">
        <v>22</v>
      </c>
      <c r="H39">
        <v>25</v>
      </c>
      <c r="I39">
        <v>2.5499999999999998</v>
      </c>
    </row>
    <row r="40" spans="1:9" x14ac:dyDescent="0.2">
      <c r="A40" t="s">
        <v>45</v>
      </c>
      <c r="B40">
        <v>2021</v>
      </c>
      <c r="C40" t="s">
        <v>76</v>
      </c>
      <c r="D40" t="s">
        <v>131</v>
      </c>
      <c r="E40" t="s">
        <v>132</v>
      </c>
      <c r="F40" t="s">
        <v>44</v>
      </c>
      <c r="G40">
        <v>28</v>
      </c>
      <c r="H40">
        <v>30</v>
      </c>
      <c r="I40">
        <v>2.56</v>
      </c>
    </row>
    <row r="41" spans="1:9" ht="16" x14ac:dyDescent="0.2">
      <c r="A41" t="s">
        <v>133</v>
      </c>
      <c r="B41">
        <v>2022</v>
      </c>
      <c r="C41">
        <v>3</v>
      </c>
      <c r="D41" t="s">
        <v>134</v>
      </c>
      <c r="E41" s="5" t="s">
        <v>135</v>
      </c>
      <c r="F41" t="s">
        <v>44</v>
      </c>
      <c r="G41">
        <v>65</v>
      </c>
      <c r="H41">
        <v>2</v>
      </c>
      <c r="I41">
        <v>2.57</v>
      </c>
    </row>
    <row r="42" spans="1:9" ht="16" x14ac:dyDescent="0.2">
      <c r="A42" t="s">
        <v>45</v>
      </c>
      <c r="B42">
        <v>2021</v>
      </c>
      <c r="C42">
        <v>11</v>
      </c>
      <c r="D42" t="s">
        <v>131</v>
      </c>
      <c r="E42" s="5" t="s">
        <v>136</v>
      </c>
      <c r="F42" t="s">
        <v>44</v>
      </c>
      <c r="G42">
        <v>28</v>
      </c>
      <c r="H42">
        <v>30</v>
      </c>
      <c r="I42">
        <v>2.65</v>
      </c>
    </row>
    <row r="43" spans="1:9" x14ac:dyDescent="0.2">
      <c r="A43" t="s">
        <v>62</v>
      </c>
      <c r="B43">
        <v>2022</v>
      </c>
      <c r="C43">
        <v>2</v>
      </c>
      <c r="D43" t="s">
        <v>137</v>
      </c>
      <c r="E43" t="s">
        <v>138</v>
      </c>
      <c r="F43" t="s">
        <v>44</v>
      </c>
      <c r="G43">
        <v>28</v>
      </c>
      <c r="H43">
        <v>1</v>
      </c>
      <c r="I43">
        <v>2.7</v>
      </c>
    </row>
    <row r="44" spans="1:9" ht="16" x14ac:dyDescent="0.2">
      <c r="A44" t="s">
        <v>62</v>
      </c>
      <c r="B44">
        <v>2022</v>
      </c>
      <c r="C44">
        <v>2</v>
      </c>
      <c r="D44" t="s">
        <v>137</v>
      </c>
      <c r="E44" s="5" t="s">
        <v>139</v>
      </c>
      <c r="F44" t="s">
        <v>44</v>
      </c>
      <c r="G44">
        <v>28</v>
      </c>
      <c r="H44">
        <v>1.2</v>
      </c>
      <c r="I44">
        <v>2.7</v>
      </c>
    </row>
    <row r="45" spans="1:9" x14ac:dyDescent="0.2">
      <c r="A45" t="s">
        <v>124</v>
      </c>
      <c r="B45">
        <v>2020</v>
      </c>
      <c r="C45">
        <v>11</v>
      </c>
      <c r="D45" t="s">
        <v>140</v>
      </c>
      <c r="E45" t="s">
        <v>141</v>
      </c>
      <c r="F45" t="s">
        <v>55</v>
      </c>
      <c r="G45">
        <v>130</v>
      </c>
      <c r="H45">
        <v>24</v>
      </c>
      <c r="I45">
        <v>2.7</v>
      </c>
    </row>
    <row r="46" spans="1:9" x14ac:dyDescent="0.2">
      <c r="A46" t="s">
        <v>48</v>
      </c>
      <c r="B46">
        <v>2021</v>
      </c>
      <c r="C46">
        <v>6</v>
      </c>
      <c r="D46" t="s">
        <v>57</v>
      </c>
      <c r="E46" t="s">
        <v>142</v>
      </c>
      <c r="F46" t="s">
        <v>51</v>
      </c>
      <c r="G46">
        <v>45</v>
      </c>
      <c r="H46">
        <v>28.5</v>
      </c>
      <c r="I46">
        <v>2.7</v>
      </c>
    </row>
    <row r="47" spans="1:9" ht="16" x14ac:dyDescent="0.2">
      <c r="A47" t="s">
        <v>105</v>
      </c>
      <c r="B47">
        <v>2022</v>
      </c>
      <c r="C47">
        <v>1</v>
      </c>
      <c r="D47" t="s">
        <v>143</v>
      </c>
      <c r="E47" s="5" t="s">
        <v>144</v>
      </c>
      <c r="F47" t="s">
        <v>44</v>
      </c>
      <c r="G47">
        <v>90</v>
      </c>
      <c r="H47">
        <v>25</v>
      </c>
      <c r="I47">
        <v>2.74</v>
      </c>
    </row>
    <row r="48" spans="1:9" x14ac:dyDescent="0.2">
      <c r="A48" t="s">
        <v>103</v>
      </c>
      <c r="B48">
        <v>2023</v>
      </c>
      <c r="C48">
        <v>1</v>
      </c>
      <c r="D48" t="s">
        <v>145</v>
      </c>
      <c r="E48" t="s">
        <v>146</v>
      </c>
      <c r="F48" t="s">
        <v>44</v>
      </c>
      <c r="G48">
        <v>65</v>
      </c>
      <c r="H48">
        <v>0.63700000000000001</v>
      </c>
      <c r="I48">
        <v>2.8</v>
      </c>
    </row>
    <row r="49" spans="1:18" x14ac:dyDescent="0.2">
      <c r="A49" t="s">
        <v>48</v>
      </c>
      <c r="B49">
        <v>2022</v>
      </c>
      <c r="C49">
        <v>6</v>
      </c>
      <c r="D49" t="s">
        <v>147</v>
      </c>
      <c r="E49" t="s">
        <v>148</v>
      </c>
      <c r="F49" t="s">
        <v>44</v>
      </c>
      <c r="G49">
        <v>65</v>
      </c>
      <c r="H49">
        <v>1</v>
      </c>
      <c r="I49">
        <v>2.8</v>
      </c>
      <c r="R49" t="s">
        <v>67</v>
      </c>
    </row>
    <row r="50" spans="1:18" x14ac:dyDescent="0.2">
      <c r="A50" t="s">
        <v>59</v>
      </c>
      <c r="B50">
        <v>2021</v>
      </c>
      <c r="C50">
        <v>10</v>
      </c>
      <c r="D50" t="s">
        <v>57</v>
      </c>
      <c r="E50" t="s">
        <v>149</v>
      </c>
      <c r="F50" t="s">
        <v>55</v>
      </c>
      <c r="G50">
        <v>130</v>
      </c>
      <c r="H50">
        <v>28</v>
      </c>
      <c r="I50">
        <v>2.8</v>
      </c>
    </row>
    <row r="51" spans="1:18" x14ac:dyDescent="0.2">
      <c r="A51" t="s">
        <v>105</v>
      </c>
      <c r="B51">
        <v>2023</v>
      </c>
      <c r="C51">
        <v>1</v>
      </c>
      <c r="D51" t="s">
        <v>137</v>
      </c>
      <c r="E51" t="s">
        <v>150</v>
      </c>
      <c r="F51" t="s">
        <v>44</v>
      </c>
      <c r="G51">
        <v>65</v>
      </c>
      <c r="H51">
        <v>39</v>
      </c>
      <c r="I51">
        <v>2.8</v>
      </c>
    </row>
    <row r="52" spans="1:18" x14ac:dyDescent="0.2">
      <c r="A52" t="s">
        <v>59</v>
      </c>
      <c r="B52">
        <v>2022</v>
      </c>
      <c r="C52">
        <v>3</v>
      </c>
      <c r="D52" t="s">
        <v>72</v>
      </c>
      <c r="E52" t="s">
        <v>73</v>
      </c>
      <c r="F52" t="s">
        <v>44</v>
      </c>
      <c r="G52">
        <v>65</v>
      </c>
      <c r="H52">
        <v>3.5</v>
      </c>
      <c r="I52">
        <v>2.9</v>
      </c>
    </row>
    <row r="53" spans="1:18" x14ac:dyDescent="0.2">
      <c r="A53" t="s">
        <v>105</v>
      </c>
      <c r="B53">
        <v>2022</v>
      </c>
      <c r="C53">
        <v>5</v>
      </c>
      <c r="D53" t="s">
        <v>151</v>
      </c>
      <c r="E53" t="s">
        <v>152</v>
      </c>
      <c r="F53" t="s">
        <v>51</v>
      </c>
      <c r="G53">
        <v>28</v>
      </c>
      <c r="H53">
        <v>26</v>
      </c>
      <c r="I53">
        <v>2.92</v>
      </c>
    </row>
    <row r="54" spans="1:18" ht="16" x14ac:dyDescent="0.2">
      <c r="A54" t="s">
        <v>153</v>
      </c>
      <c r="B54">
        <v>2022</v>
      </c>
      <c r="C54">
        <v>4</v>
      </c>
      <c r="D54" t="s">
        <v>151</v>
      </c>
      <c r="E54" s="5" t="s">
        <v>152</v>
      </c>
      <c r="F54" t="s">
        <v>51</v>
      </c>
      <c r="G54">
        <v>28</v>
      </c>
      <c r="H54">
        <v>26</v>
      </c>
      <c r="I54">
        <v>2.92</v>
      </c>
    </row>
    <row r="55" spans="1:18" x14ac:dyDescent="0.2">
      <c r="A55" t="s">
        <v>115</v>
      </c>
      <c r="B55">
        <v>2022</v>
      </c>
      <c r="C55">
        <v>11</v>
      </c>
      <c r="D55" t="s">
        <v>116</v>
      </c>
      <c r="E55" t="s">
        <v>117</v>
      </c>
      <c r="F55" t="s">
        <v>44</v>
      </c>
      <c r="G55">
        <v>180</v>
      </c>
      <c r="H55">
        <v>2.42</v>
      </c>
      <c r="I55">
        <v>2.97</v>
      </c>
    </row>
    <row r="56" spans="1:18" ht="16" x14ac:dyDescent="0.2">
      <c r="A56" t="s">
        <v>62</v>
      </c>
      <c r="B56">
        <v>2022</v>
      </c>
      <c r="C56">
        <v>2</v>
      </c>
      <c r="D56" t="s">
        <v>137</v>
      </c>
      <c r="E56" s="5" t="s">
        <v>139</v>
      </c>
      <c r="F56" t="s">
        <v>44</v>
      </c>
      <c r="G56">
        <v>28</v>
      </c>
      <c r="H56">
        <v>2</v>
      </c>
      <c r="I56">
        <v>3</v>
      </c>
    </row>
    <row r="57" spans="1:18" x14ac:dyDescent="0.2">
      <c r="A57" t="s">
        <v>154</v>
      </c>
      <c r="B57">
        <v>2022</v>
      </c>
      <c r="C57">
        <v>8</v>
      </c>
      <c r="D57" t="s">
        <v>97</v>
      </c>
      <c r="E57" t="s">
        <v>155</v>
      </c>
      <c r="F57" t="s">
        <v>44</v>
      </c>
      <c r="G57">
        <v>55</v>
      </c>
      <c r="H57">
        <v>2.5</v>
      </c>
      <c r="I57">
        <v>3</v>
      </c>
    </row>
    <row r="58" spans="1:18" x14ac:dyDescent="0.2">
      <c r="A58" t="s">
        <v>112</v>
      </c>
      <c r="B58">
        <v>2021</v>
      </c>
      <c r="C58">
        <v>9</v>
      </c>
      <c r="D58" t="s">
        <v>156</v>
      </c>
      <c r="E58" t="s">
        <v>157</v>
      </c>
      <c r="F58" t="s">
        <v>55</v>
      </c>
      <c r="G58">
        <v>250</v>
      </c>
      <c r="H58">
        <v>28</v>
      </c>
      <c r="I58">
        <v>3</v>
      </c>
    </row>
    <row r="59" spans="1:18" x14ac:dyDescent="0.2">
      <c r="A59" t="s">
        <v>158</v>
      </c>
      <c r="B59">
        <v>2020</v>
      </c>
      <c r="C59">
        <v>9</v>
      </c>
      <c r="D59" t="s">
        <v>77</v>
      </c>
      <c r="E59" t="s">
        <v>159</v>
      </c>
      <c r="F59" t="s">
        <v>55</v>
      </c>
      <c r="G59">
        <v>130</v>
      </c>
      <c r="H59">
        <v>30</v>
      </c>
      <c r="I59">
        <v>3</v>
      </c>
    </row>
    <row r="60" spans="1:18" ht="16" x14ac:dyDescent="0.2">
      <c r="A60" t="s">
        <v>153</v>
      </c>
      <c r="B60">
        <v>2022</v>
      </c>
      <c r="C60">
        <v>4</v>
      </c>
      <c r="D60" t="s">
        <v>151</v>
      </c>
      <c r="E60" s="5" t="s">
        <v>152</v>
      </c>
      <c r="F60" t="s">
        <v>51</v>
      </c>
      <c r="G60">
        <v>28</v>
      </c>
      <c r="H60">
        <v>44</v>
      </c>
      <c r="I60">
        <v>3</v>
      </c>
    </row>
    <row r="61" spans="1:18" x14ac:dyDescent="0.2">
      <c r="A61" t="s">
        <v>115</v>
      </c>
      <c r="B61">
        <v>2022</v>
      </c>
      <c r="C61">
        <v>11</v>
      </c>
      <c r="D61" t="s">
        <v>116</v>
      </c>
      <c r="E61" t="s">
        <v>117</v>
      </c>
      <c r="F61" t="s">
        <v>44</v>
      </c>
      <c r="G61">
        <v>180</v>
      </c>
      <c r="H61">
        <v>4.21</v>
      </c>
      <c r="I61">
        <v>3.02</v>
      </c>
    </row>
    <row r="62" spans="1:18" x14ac:dyDescent="0.2">
      <c r="A62" t="s">
        <v>105</v>
      </c>
      <c r="B62">
        <v>2023</v>
      </c>
      <c r="C62">
        <v>1</v>
      </c>
      <c r="D62" t="s">
        <v>137</v>
      </c>
      <c r="E62" t="s">
        <v>150</v>
      </c>
      <c r="F62" t="s">
        <v>44</v>
      </c>
      <c r="G62">
        <v>65</v>
      </c>
      <c r="H62">
        <v>28</v>
      </c>
      <c r="I62">
        <v>3.1</v>
      </c>
    </row>
    <row r="63" spans="1:18" ht="16" x14ac:dyDescent="0.2">
      <c r="A63" t="s">
        <v>48</v>
      </c>
      <c r="B63">
        <v>2019</v>
      </c>
      <c r="C63">
        <v>6</v>
      </c>
      <c r="D63" t="s">
        <v>160</v>
      </c>
      <c r="E63" s="5" t="s">
        <v>161</v>
      </c>
      <c r="F63" t="s">
        <v>51</v>
      </c>
      <c r="G63">
        <v>22</v>
      </c>
      <c r="H63">
        <v>29</v>
      </c>
      <c r="I63">
        <v>3.1</v>
      </c>
    </row>
    <row r="64" spans="1:18" x14ac:dyDescent="0.2">
      <c r="A64" t="s">
        <v>92</v>
      </c>
      <c r="B64">
        <v>2022</v>
      </c>
      <c r="C64">
        <v>6</v>
      </c>
      <c r="D64" t="s">
        <v>93</v>
      </c>
      <c r="E64" t="s">
        <v>94</v>
      </c>
      <c r="F64" t="s">
        <v>44</v>
      </c>
      <c r="G64">
        <v>90</v>
      </c>
      <c r="H64">
        <v>5.2</v>
      </c>
      <c r="I64">
        <v>3.18</v>
      </c>
    </row>
    <row r="65" spans="1:18" x14ac:dyDescent="0.2">
      <c r="A65" t="s">
        <v>162</v>
      </c>
      <c r="B65">
        <v>2022</v>
      </c>
      <c r="C65">
        <v>11</v>
      </c>
      <c r="D65" t="s">
        <v>163</v>
      </c>
      <c r="E65" t="s">
        <v>164</v>
      </c>
      <c r="F65" t="s">
        <v>44</v>
      </c>
      <c r="G65">
        <v>65</v>
      </c>
      <c r="H65">
        <v>0.5</v>
      </c>
      <c r="I65">
        <v>3.2</v>
      </c>
    </row>
    <row r="66" spans="1:18" x14ac:dyDescent="0.2">
      <c r="A66" t="s">
        <v>162</v>
      </c>
      <c r="B66">
        <v>2022</v>
      </c>
      <c r="C66">
        <v>11</v>
      </c>
      <c r="D66" t="s">
        <v>137</v>
      </c>
      <c r="E66" t="s">
        <v>165</v>
      </c>
      <c r="F66" t="s">
        <v>44</v>
      </c>
      <c r="G66">
        <v>65</v>
      </c>
      <c r="H66">
        <v>0.5</v>
      </c>
      <c r="I66">
        <v>3.2</v>
      </c>
    </row>
    <row r="67" spans="1:18" ht="16" x14ac:dyDescent="0.2">
      <c r="A67" t="s">
        <v>112</v>
      </c>
      <c r="B67">
        <v>2022</v>
      </c>
      <c r="C67">
        <v>4</v>
      </c>
      <c r="D67" t="s">
        <v>166</v>
      </c>
      <c r="E67" s="5" t="s">
        <v>167</v>
      </c>
      <c r="F67" t="s">
        <v>44</v>
      </c>
      <c r="G67">
        <v>130</v>
      </c>
      <c r="H67">
        <v>2.4</v>
      </c>
      <c r="I67">
        <v>3.2</v>
      </c>
    </row>
    <row r="68" spans="1:18" x14ac:dyDescent="0.2">
      <c r="A68" t="s">
        <v>59</v>
      </c>
      <c r="B68">
        <v>2021</v>
      </c>
      <c r="C68">
        <v>6</v>
      </c>
      <c r="D68" t="s">
        <v>168</v>
      </c>
      <c r="E68" t="s">
        <v>169</v>
      </c>
      <c r="F68" t="s">
        <v>51</v>
      </c>
      <c r="G68">
        <v>22</v>
      </c>
      <c r="H68">
        <v>28</v>
      </c>
      <c r="I68">
        <v>3.2</v>
      </c>
    </row>
    <row r="69" spans="1:18" x14ac:dyDescent="0.2">
      <c r="A69" t="s">
        <v>79</v>
      </c>
      <c r="B69">
        <v>2021</v>
      </c>
      <c r="C69">
        <v>1</v>
      </c>
      <c r="D69" t="s">
        <v>170</v>
      </c>
      <c r="E69" t="s">
        <v>171</v>
      </c>
      <c r="F69" t="s">
        <v>55</v>
      </c>
      <c r="G69">
        <v>130</v>
      </c>
      <c r="H69">
        <v>60</v>
      </c>
      <c r="I69">
        <v>3.2</v>
      </c>
    </row>
    <row r="70" spans="1:18" ht="16" x14ac:dyDescent="0.2">
      <c r="A70" t="s">
        <v>172</v>
      </c>
      <c r="B70">
        <v>2014</v>
      </c>
      <c r="C70">
        <v>9</v>
      </c>
      <c r="D70" t="s">
        <v>173</v>
      </c>
      <c r="E70" s="5" t="s">
        <v>174</v>
      </c>
      <c r="F70" t="s">
        <v>44</v>
      </c>
      <c r="G70">
        <v>28</v>
      </c>
      <c r="H70">
        <v>74</v>
      </c>
      <c r="I70">
        <v>3.2</v>
      </c>
    </row>
    <row r="71" spans="1:18" x14ac:dyDescent="0.2">
      <c r="A71" t="s">
        <v>56</v>
      </c>
      <c r="B71">
        <v>2022</v>
      </c>
      <c r="C71">
        <v>6</v>
      </c>
      <c r="D71" t="s">
        <v>97</v>
      </c>
      <c r="E71" t="s">
        <v>175</v>
      </c>
      <c r="F71" t="s">
        <v>44</v>
      </c>
      <c r="G71">
        <v>65</v>
      </c>
      <c r="H71">
        <v>3.8</v>
      </c>
      <c r="I71">
        <v>3.3</v>
      </c>
    </row>
    <row r="72" spans="1:18" ht="16" x14ac:dyDescent="0.2">
      <c r="A72" t="s">
        <v>176</v>
      </c>
      <c r="B72">
        <v>2022</v>
      </c>
      <c r="C72">
        <v>1</v>
      </c>
      <c r="D72" t="s">
        <v>177</v>
      </c>
      <c r="E72" s="5" t="s">
        <v>178</v>
      </c>
      <c r="F72" t="s">
        <v>44</v>
      </c>
      <c r="G72">
        <v>65</v>
      </c>
      <c r="H72">
        <v>7.2</v>
      </c>
      <c r="I72">
        <v>3.3</v>
      </c>
    </row>
    <row r="73" spans="1:18" x14ac:dyDescent="0.2">
      <c r="A73" t="s">
        <v>45</v>
      </c>
      <c r="B73">
        <v>2020</v>
      </c>
      <c r="C73">
        <v>10</v>
      </c>
      <c r="D73" t="s">
        <v>97</v>
      </c>
      <c r="E73" t="s">
        <v>179</v>
      </c>
      <c r="F73" t="s">
        <v>44</v>
      </c>
      <c r="G73">
        <v>65</v>
      </c>
      <c r="H73">
        <v>20</v>
      </c>
      <c r="I73">
        <v>3.3</v>
      </c>
    </row>
    <row r="74" spans="1:18" x14ac:dyDescent="0.2">
      <c r="A74" t="s">
        <v>48</v>
      </c>
      <c r="B74">
        <v>2021</v>
      </c>
      <c r="C74">
        <v>6</v>
      </c>
      <c r="D74" t="s">
        <v>180</v>
      </c>
      <c r="E74" t="s">
        <v>181</v>
      </c>
      <c r="F74" t="s">
        <v>44</v>
      </c>
      <c r="G74">
        <v>40</v>
      </c>
      <c r="H74">
        <v>20</v>
      </c>
      <c r="I74">
        <v>3.3</v>
      </c>
      <c r="R74" t="s">
        <v>182</v>
      </c>
    </row>
    <row r="75" spans="1:18" ht="16" x14ac:dyDescent="0.2">
      <c r="A75" t="s">
        <v>176</v>
      </c>
      <c r="B75">
        <v>2022</v>
      </c>
      <c r="C75">
        <v>1</v>
      </c>
      <c r="D75" t="s">
        <v>177</v>
      </c>
      <c r="E75" s="5" t="s">
        <v>178</v>
      </c>
      <c r="F75" t="s">
        <v>44</v>
      </c>
      <c r="G75">
        <v>65</v>
      </c>
      <c r="H75">
        <v>25</v>
      </c>
      <c r="I75">
        <v>3.3</v>
      </c>
    </row>
    <row r="76" spans="1:18" x14ac:dyDescent="0.2">
      <c r="A76" t="s">
        <v>105</v>
      </c>
      <c r="B76">
        <v>2018</v>
      </c>
      <c r="C76">
        <v>1</v>
      </c>
      <c r="D76" t="s">
        <v>183</v>
      </c>
      <c r="E76" t="s">
        <v>184</v>
      </c>
      <c r="F76" t="s">
        <v>44</v>
      </c>
      <c r="G76">
        <v>40</v>
      </c>
      <c r="H76">
        <v>31</v>
      </c>
      <c r="I76">
        <v>3.3</v>
      </c>
    </row>
    <row r="77" spans="1:18" x14ac:dyDescent="0.2">
      <c r="A77" t="s">
        <v>105</v>
      </c>
      <c r="B77">
        <v>2021</v>
      </c>
      <c r="C77">
        <v>5</v>
      </c>
      <c r="D77" t="s">
        <v>185</v>
      </c>
      <c r="E77" t="s">
        <v>186</v>
      </c>
      <c r="F77" t="s">
        <v>55</v>
      </c>
      <c r="G77">
        <v>130</v>
      </c>
      <c r="H77">
        <v>60</v>
      </c>
      <c r="I77">
        <v>3.3</v>
      </c>
      <c r="R77" t="s">
        <v>91</v>
      </c>
    </row>
    <row r="78" spans="1:18" ht="32" x14ac:dyDescent="0.2">
      <c r="A78" t="s">
        <v>45</v>
      </c>
      <c r="B78">
        <v>2022</v>
      </c>
      <c r="C78">
        <v>2</v>
      </c>
      <c r="D78" t="s">
        <v>187</v>
      </c>
      <c r="E78" s="5" t="s">
        <v>188</v>
      </c>
      <c r="F78" t="s">
        <v>44</v>
      </c>
      <c r="G78">
        <v>28</v>
      </c>
      <c r="H78">
        <v>3</v>
      </c>
      <c r="I78">
        <v>3.4</v>
      </c>
    </row>
    <row r="79" spans="1:18" x14ac:dyDescent="0.2">
      <c r="A79" t="s">
        <v>56</v>
      </c>
      <c r="B79">
        <v>2022</v>
      </c>
      <c r="C79">
        <v>6</v>
      </c>
      <c r="D79" t="s">
        <v>97</v>
      </c>
      <c r="E79" t="s">
        <v>175</v>
      </c>
      <c r="F79" t="s">
        <v>44</v>
      </c>
      <c r="G79">
        <v>65</v>
      </c>
      <c r="H79">
        <v>10</v>
      </c>
      <c r="I79">
        <v>3.5</v>
      </c>
    </row>
    <row r="80" spans="1:18" x14ac:dyDescent="0.2">
      <c r="A80" t="s">
        <v>48</v>
      </c>
      <c r="B80">
        <v>2021</v>
      </c>
      <c r="C80">
        <v>6</v>
      </c>
      <c r="D80" t="s">
        <v>189</v>
      </c>
      <c r="E80" t="s">
        <v>190</v>
      </c>
      <c r="F80" t="s">
        <v>44</v>
      </c>
      <c r="G80">
        <v>28</v>
      </c>
      <c r="H80">
        <v>30</v>
      </c>
      <c r="I80">
        <v>3.5</v>
      </c>
    </row>
    <row r="81" spans="1:18" ht="16" x14ac:dyDescent="0.2">
      <c r="A81" t="s">
        <v>191</v>
      </c>
      <c r="B81">
        <v>2021</v>
      </c>
      <c r="C81">
        <v>6</v>
      </c>
      <c r="D81" t="s">
        <v>189</v>
      </c>
      <c r="E81" s="5" t="s">
        <v>190</v>
      </c>
      <c r="F81" t="s">
        <v>44</v>
      </c>
      <c r="G81">
        <v>28</v>
      </c>
      <c r="H81">
        <v>30</v>
      </c>
      <c r="I81">
        <v>3.5</v>
      </c>
    </row>
    <row r="82" spans="1:18" x14ac:dyDescent="0.2">
      <c r="A82" t="s">
        <v>45</v>
      </c>
      <c r="B82">
        <v>2021</v>
      </c>
      <c r="C82">
        <v>10</v>
      </c>
      <c r="D82" t="s">
        <v>72</v>
      </c>
      <c r="E82" t="s">
        <v>192</v>
      </c>
      <c r="F82" t="s">
        <v>55</v>
      </c>
      <c r="G82">
        <v>120</v>
      </c>
      <c r="H82">
        <v>41</v>
      </c>
      <c r="I82">
        <v>3.5</v>
      </c>
    </row>
    <row r="83" spans="1:18" x14ac:dyDescent="0.2">
      <c r="A83" t="s">
        <v>45</v>
      </c>
      <c r="B83">
        <v>2021</v>
      </c>
      <c r="C83">
        <v>10</v>
      </c>
      <c r="D83" t="s">
        <v>72</v>
      </c>
      <c r="E83" t="s">
        <v>192</v>
      </c>
      <c r="F83" t="s">
        <v>55</v>
      </c>
      <c r="G83">
        <v>120</v>
      </c>
      <c r="H83">
        <v>41</v>
      </c>
      <c r="I83">
        <v>3.5</v>
      </c>
    </row>
    <row r="84" spans="1:18" x14ac:dyDescent="0.2">
      <c r="A84" t="s">
        <v>45</v>
      </c>
      <c r="B84">
        <v>2021</v>
      </c>
      <c r="C84">
        <v>10</v>
      </c>
      <c r="D84" t="s">
        <v>72</v>
      </c>
      <c r="E84" t="s">
        <v>192</v>
      </c>
      <c r="F84" t="s">
        <v>55</v>
      </c>
      <c r="G84">
        <v>120</v>
      </c>
      <c r="H84">
        <v>50</v>
      </c>
      <c r="I84">
        <v>3.5</v>
      </c>
    </row>
    <row r="85" spans="1:18" x14ac:dyDescent="0.2">
      <c r="A85" t="s">
        <v>48</v>
      </c>
      <c r="B85">
        <v>2022</v>
      </c>
      <c r="C85">
        <v>6</v>
      </c>
      <c r="D85" s="9" t="s">
        <v>193</v>
      </c>
      <c r="E85" t="s">
        <v>194</v>
      </c>
      <c r="F85" t="s">
        <v>55</v>
      </c>
      <c r="G85">
        <v>130</v>
      </c>
      <c r="H85">
        <v>72</v>
      </c>
      <c r="I85">
        <v>3.5</v>
      </c>
    </row>
    <row r="86" spans="1:18" x14ac:dyDescent="0.2">
      <c r="A86" t="s">
        <v>195</v>
      </c>
      <c r="B86">
        <v>2021</v>
      </c>
      <c r="C86">
        <v>4</v>
      </c>
      <c r="D86" t="s">
        <v>131</v>
      </c>
      <c r="E86" t="s">
        <v>196</v>
      </c>
      <c r="F86" t="s">
        <v>44</v>
      </c>
      <c r="G86">
        <v>28</v>
      </c>
      <c r="H86">
        <v>31</v>
      </c>
      <c r="I86">
        <v>3.6</v>
      </c>
    </row>
    <row r="87" spans="1:18" ht="16" x14ac:dyDescent="0.2">
      <c r="A87" t="s">
        <v>45</v>
      </c>
      <c r="B87">
        <v>2022</v>
      </c>
      <c r="C87">
        <v>1</v>
      </c>
      <c r="D87" t="s">
        <v>131</v>
      </c>
      <c r="E87" s="5" t="s">
        <v>197</v>
      </c>
      <c r="F87" t="s">
        <v>44</v>
      </c>
      <c r="G87">
        <v>28</v>
      </c>
      <c r="H87">
        <v>31</v>
      </c>
      <c r="I87">
        <v>3.6</v>
      </c>
    </row>
    <row r="88" spans="1:18" x14ac:dyDescent="0.2">
      <c r="A88" t="s">
        <v>198</v>
      </c>
      <c r="B88">
        <v>2023</v>
      </c>
      <c r="C88">
        <v>1</v>
      </c>
      <c r="D88" t="s">
        <v>199</v>
      </c>
      <c r="E88" t="s">
        <v>200</v>
      </c>
      <c r="F88" t="s">
        <v>44</v>
      </c>
      <c r="G88">
        <v>65</v>
      </c>
      <c r="H88">
        <v>0.8</v>
      </c>
      <c r="I88">
        <v>3.7</v>
      </c>
      <c r="R88" t="s">
        <v>67</v>
      </c>
    </row>
    <row r="89" spans="1:18" x14ac:dyDescent="0.2">
      <c r="A89" t="s">
        <v>48</v>
      </c>
      <c r="B89">
        <v>2022</v>
      </c>
      <c r="C89">
        <v>6</v>
      </c>
      <c r="D89" t="s">
        <v>77</v>
      </c>
      <c r="E89" t="s">
        <v>201</v>
      </c>
      <c r="F89" t="s">
        <v>44</v>
      </c>
      <c r="G89">
        <v>65</v>
      </c>
      <c r="H89">
        <v>2</v>
      </c>
      <c r="I89">
        <v>3.7</v>
      </c>
    </row>
    <row r="90" spans="1:18" ht="16" x14ac:dyDescent="0.2">
      <c r="A90" t="s">
        <v>176</v>
      </c>
      <c r="B90">
        <v>2022</v>
      </c>
      <c r="C90">
        <v>1</v>
      </c>
      <c r="D90" t="s">
        <v>177</v>
      </c>
      <c r="E90" s="5" t="s">
        <v>178</v>
      </c>
      <c r="F90" t="s">
        <v>44</v>
      </c>
      <c r="G90">
        <v>65</v>
      </c>
      <c r="H90">
        <v>15</v>
      </c>
      <c r="I90">
        <v>3.7</v>
      </c>
    </row>
    <row r="91" spans="1:18" x14ac:dyDescent="0.2">
      <c r="A91" t="s">
        <v>45</v>
      </c>
      <c r="B91">
        <v>2021</v>
      </c>
      <c r="C91">
        <v>8</v>
      </c>
      <c r="D91" t="s">
        <v>202</v>
      </c>
      <c r="E91" t="s">
        <v>203</v>
      </c>
      <c r="F91" t="s">
        <v>44</v>
      </c>
      <c r="G91">
        <v>65</v>
      </c>
      <c r="H91">
        <v>28</v>
      </c>
      <c r="I91">
        <v>3.75</v>
      </c>
      <c r="R91" t="s">
        <v>91</v>
      </c>
    </row>
    <row r="92" spans="1:18" ht="16" x14ac:dyDescent="0.2">
      <c r="A92" t="s">
        <v>204</v>
      </c>
      <c r="B92">
        <v>2021</v>
      </c>
      <c r="D92" t="s">
        <v>77</v>
      </c>
      <c r="E92" s="5" t="s">
        <v>205</v>
      </c>
      <c r="F92" t="s">
        <v>55</v>
      </c>
      <c r="G92">
        <v>130</v>
      </c>
      <c r="H92">
        <v>4</v>
      </c>
      <c r="I92">
        <v>3.8</v>
      </c>
    </row>
    <row r="93" spans="1:18" x14ac:dyDescent="0.2">
      <c r="A93" t="s">
        <v>158</v>
      </c>
      <c r="B93">
        <v>2020</v>
      </c>
      <c r="C93">
        <v>8</v>
      </c>
      <c r="D93" t="s">
        <v>206</v>
      </c>
      <c r="E93" t="s">
        <v>207</v>
      </c>
      <c r="F93" t="s">
        <v>51</v>
      </c>
      <c r="G93">
        <v>45</v>
      </c>
      <c r="H93">
        <v>22</v>
      </c>
      <c r="I93">
        <v>3.8</v>
      </c>
    </row>
    <row r="94" spans="1:18" ht="16" x14ac:dyDescent="0.2">
      <c r="A94" t="s">
        <v>195</v>
      </c>
      <c r="B94">
        <v>2022</v>
      </c>
      <c r="C94">
        <v>4</v>
      </c>
      <c r="D94" t="s">
        <v>131</v>
      </c>
      <c r="E94" s="5" t="s">
        <v>208</v>
      </c>
      <c r="F94" t="s">
        <v>44</v>
      </c>
      <c r="G94">
        <v>40</v>
      </c>
      <c r="H94">
        <v>28</v>
      </c>
      <c r="I94">
        <v>3.8</v>
      </c>
    </row>
    <row r="95" spans="1:18" x14ac:dyDescent="0.2">
      <c r="A95" t="s">
        <v>45</v>
      </c>
      <c r="B95">
        <v>2023</v>
      </c>
      <c r="C95">
        <v>3</v>
      </c>
      <c r="D95" t="s">
        <v>131</v>
      </c>
      <c r="E95" t="s">
        <v>209</v>
      </c>
      <c r="F95" t="s">
        <v>44</v>
      </c>
      <c r="G95">
        <v>40</v>
      </c>
      <c r="H95">
        <v>30</v>
      </c>
      <c r="I95">
        <v>3.8</v>
      </c>
    </row>
    <row r="96" spans="1:18" x14ac:dyDescent="0.2">
      <c r="A96" t="s">
        <v>48</v>
      </c>
      <c r="B96">
        <v>2022</v>
      </c>
      <c r="C96">
        <v>6</v>
      </c>
      <c r="D96" t="s">
        <v>193</v>
      </c>
      <c r="E96" t="s">
        <v>194</v>
      </c>
      <c r="F96" t="s">
        <v>55</v>
      </c>
      <c r="G96">
        <v>130</v>
      </c>
      <c r="H96">
        <v>81</v>
      </c>
      <c r="I96">
        <v>3.8</v>
      </c>
    </row>
    <row r="97" spans="1:18" x14ac:dyDescent="0.2">
      <c r="A97" t="s">
        <v>56</v>
      </c>
      <c r="B97">
        <v>2021</v>
      </c>
      <c r="C97">
        <v>6</v>
      </c>
      <c r="D97" t="s">
        <v>210</v>
      </c>
      <c r="E97" t="s">
        <v>211</v>
      </c>
      <c r="F97" t="s">
        <v>212</v>
      </c>
      <c r="G97">
        <v>28</v>
      </c>
      <c r="H97">
        <v>24.5</v>
      </c>
      <c r="I97">
        <v>3.83</v>
      </c>
    </row>
    <row r="98" spans="1:18" x14ac:dyDescent="0.2">
      <c r="A98" t="s">
        <v>84</v>
      </c>
      <c r="B98">
        <v>2023</v>
      </c>
      <c r="C98">
        <v>3</v>
      </c>
      <c r="D98" t="s">
        <v>213</v>
      </c>
      <c r="E98" t="s">
        <v>214</v>
      </c>
      <c r="F98" t="s">
        <v>44</v>
      </c>
      <c r="G98">
        <v>65</v>
      </c>
      <c r="H98">
        <v>28</v>
      </c>
      <c r="I98">
        <v>3.84</v>
      </c>
    </row>
    <row r="99" spans="1:18" ht="16" x14ac:dyDescent="0.2">
      <c r="A99" t="s">
        <v>105</v>
      </c>
      <c r="B99">
        <v>2022</v>
      </c>
      <c r="C99">
        <v>2</v>
      </c>
      <c r="D99" t="s">
        <v>110</v>
      </c>
      <c r="E99" s="5" t="s">
        <v>111</v>
      </c>
      <c r="F99" t="s">
        <v>44</v>
      </c>
      <c r="G99">
        <v>65</v>
      </c>
      <c r="H99">
        <v>21</v>
      </c>
      <c r="I99">
        <v>3.9</v>
      </c>
    </row>
    <row r="100" spans="1:18" x14ac:dyDescent="0.2">
      <c r="A100" t="s">
        <v>45</v>
      </c>
      <c r="B100">
        <v>2021</v>
      </c>
      <c r="C100" t="s">
        <v>76</v>
      </c>
      <c r="D100" t="s">
        <v>215</v>
      </c>
      <c r="E100" t="s">
        <v>216</v>
      </c>
      <c r="F100" t="s">
        <v>44</v>
      </c>
      <c r="G100">
        <v>55</v>
      </c>
      <c r="H100">
        <v>24</v>
      </c>
      <c r="I100">
        <v>4</v>
      </c>
    </row>
    <row r="101" spans="1:18" ht="16" x14ac:dyDescent="0.2">
      <c r="A101" t="s">
        <v>217</v>
      </c>
      <c r="B101">
        <v>2021</v>
      </c>
      <c r="C101">
        <v>5</v>
      </c>
      <c r="D101" t="s">
        <v>177</v>
      </c>
      <c r="E101" s="5" t="s">
        <v>218</v>
      </c>
      <c r="F101" t="s">
        <v>44</v>
      </c>
      <c r="G101">
        <v>65</v>
      </c>
      <c r="H101">
        <v>26</v>
      </c>
      <c r="I101">
        <v>4</v>
      </c>
    </row>
    <row r="102" spans="1:18" ht="16" x14ac:dyDescent="0.2">
      <c r="A102" t="s">
        <v>45</v>
      </c>
      <c r="B102">
        <v>2020</v>
      </c>
      <c r="C102">
        <v>8</v>
      </c>
      <c r="D102" t="s">
        <v>131</v>
      </c>
      <c r="E102" s="5" t="s">
        <v>219</v>
      </c>
      <c r="F102" t="s">
        <v>212</v>
      </c>
      <c r="G102">
        <v>65</v>
      </c>
      <c r="H102">
        <v>60</v>
      </c>
      <c r="I102">
        <v>4</v>
      </c>
      <c r="R102" t="s">
        <v>91</v>
      </c>
    </row>
    <row r="103" spans="1:18" ht="16" x14ac:dyDescent="0.2">
      <c r="A103" t="s">
        <v>220</v>
      </c>
      <c r="B103">
        <v>2013</v>
      </c>
      <c r="C103">
        <v>6</v>
      </c>
      <c r="D103" t="s">
        <v>221</v>
      </c>
      <c r="E103" s="5" t="s">
        <v>222</v>
      </c>
      <c r="F103" t="s">
        <v>55</v>
      </c>
      <c r="G103">
        <v>130</v>
      </c>
      <c r="H103">
        <v>110</v>
      </c>
      <c r="I103">
        <v>4</v>
      </c>
    </row>
    <row r="104" spans="1:18" x14ac:dyDescent="0.2">
      <c r="A104" t="s">
        <v>56</v>
      </c>
      <c r="B104">
        <v>2013</v>
      </c>
      <c r="C104">
        <v>1</v>
      </c>
      <c r="D104" t="s">
        <v>221</v>
      </c>
      <c r="E104" t="s">
        <v>223</v>
      </c>
      <c r="F104" t="s">
        <v>55</v>
      </c>
      <c r="G104">
        <v>130</v>
      </c>
      <c r="H104">
        <v>110</v>
      </c>
      <c r="I104">
        <v>4</v>
      </c>
    </row>
    <row r="105" spans="1:18" x14ac:dyDescent="0.2">
      <c r="A105" t="s">
        <v>224</v>
      </c>
      <c r="B105">
        <v>2019</v>
      </c>
      <c r="C105">
        <v>10</v>
      </c>
      <c r="D105" t="s">
        <v>225</v>
      </c>
      <c r="E105" s="7" t="s">
        <v>226</v>
      </c>
      <c r="F105" t="s">
        <v>44</v>
      </c>
      <c r="G105">
        <v>28</v>
      </c>
      <c r="H105">
        <v>140</v>
      </c>
      <c r="I105">
        <v>4</v>
      </c>
      <c r="R105" t="s">
        <v>91</v>
      </c>
    </row>
    <row r="106" spans="1:18" x14ac:dyDescent="0.2">
      <c r="A106" t="s">
        <v>217</v>
      </c>
      <c r="B106">
        <v>2021</v>
      </c>
      <c r="D106" s="9" t="s">
        <v>177</v>
      </c>
      <c r="E106" t="s">
        <v>227</v>
      </c>
      <c r="F106" t="s">
        <v>44</v>
      </c>
      <c r="G106">
        <v>65</v>
      </c>
      <c r="H106">
        <v>20</v>
      </c>
      <c r="I106">
        <v>4.0999999999999996</v>
      </c>
    </row>
    <row r="107" spans="1:18" ht="16" x14ac:dyDescent="0.2">
      <c r="A107" t="s">
        <v>217</v>
      </c>
      <c r="B107">
        <v>2021</v>
      </c>
      <c r="C107">
        <v>5</v>
      </c>
      <c r="D107" t="s">
        <v>177</v>
      </c>
      <c r="E107" s="5" t="s">
        <v>228</v>
      </c>
      <c r="F107" t="s">
        <v>44</v>
      </c>
      <c r="G107">
        <v>65</v>
      </c>
      <c r="H107">
        <v>20</v>
      </c>
      <c r="I107">
        <v>4.0999999999999996</v>
      </c>
    </row>
    <row r="108" spans="1:18" ht="16" x14ac:dyDescent="0.2">
      <c r="A108" t="s">
        <v>195</v>
      </c>
      <c r="B108">
        <v>2022</v>
      </c>
      <c r="C108">
        <v>4</v>
      </c>
      <c r="D108" t="s">
        <v>131</v>
      </c>
      <c r="E108" s="5" t="s">
        <v>208</v>
      </c>
      <c r="F108" t="s">
        <v>44</v>
      </c>
      <c r="G108">
        <v>40</v>
      </c>
      <c r="H108">
        <v>25</v>
      </c>
      <c r="I108">
        <v>4.0999999999999996</v>
      </c>
    </row>
    <row r="109" spans="1:18" x14ac:dyDescent="0.2">
      <c r="A109" t="s">
        <v>45</v>
      </c>
      <c r="B109">
        <v>2019</v>
      </c>
      <c r="C109">
        <v>5</v>
      </c>
      <c r="D109" t="s">
        <v>229</v>
      </c>
      <c r="E109" t="s">
        <v>230</v>
      </c>
      <c r="F109" t="s">
        <v>44</v>
      </c>
      <c r="G109">
        <v>65</v>
      </c>
      <c r="H109">
        <v>28</v>
      </c>
      <c r="I109">
        <v>4.0999999999999996</v>
      </c>
      <c r="R109" t="s">
        <v>182</v>
      </c>
    </row>
    <row r="110" spans="1:18" ht="16" x14ac:dyDescent="0.2">
      <c r="A110" t="s">
        <v>45</v>
      </c>
      <c r="B110">
        <v>2022</v>
      </c>
      <c r="C110">
        <v>2</v>
      </c>
      <c r="D110" t="s">
        <v>77</v>
      </c>
      <c r="E110" s="5" t="s">
        <v>231</v>
      </c>
      <c r="F110" t="s">
        <v>44</v>
      </c>
      <c r="G110">
        <v>65</v>
      </c>
      <c r="H110">
        <v>21</v>
      </c>
      <c r="I110">
        <v>4.2</v>
      </c>
    </row>
    <row r="111" spans="1:18" x14ac:dyDescent="0.2">
      <c r="A111" t="s">
        <v>232</v>
      </c>
      <c r="B111">
        <v>2020</v>
      </c>
      <c r="C111">
        <v>10</v>
      </c>
      <c r="D111" t="s">
        <v>65</v>
      </c>
      <c r="E111" t="s">
        <v>233</v>
      </c>
      <c r="F111" t="s">
        <v>55</v>
      </c>
      <c r="G111">
        <v>180</v>
      </c>
      <c r="H111">
        <v>28</v>
      </c>
      <c r="I111">
        <v>4.2</v>
      </c>
      <c r="R111" t="s">
        <v>182</v>
      </c>
    </row>
    <row r="112" spans="1:18" x14ac:dyDescent="0.2">
      <c r="A112" t="s">
        <v>232</v>
      </c>
      <c r="B112">
        <v>2020</v>
      </c>
      <c r="C112">
        <v>10</v>
      </c>
      <c r="D112" t="s">
        <v>65</v>
      </c>
      <c r="E112" t="s">
        <v>233</v>
      </c>
      <c r="F112" t="s">
        <v>55</v>
      </c>
      <c r="G112">
        <v>180</v>
      </c>
      <c r="H112">
        <v>28</v>
      </c>
      <c r="I112">
        <v>4.2</v>
      </c>
      <c r="R112" t="s">
        <v>182</v>
      </c>
    </row>
    <row r="113" spans="1:18" x14ac:dyDescent="0.2">
      <c r="A113" t="s">
        <v>45</v>
      </c>
      <c r="B113">
        <v>2020</v>
      </c>
      <c r="C113">
        <v>9</v>
      </c>
      <c r="D113" t="s">
        <v>229</v>
      </c>
      <c r="E113" t="s">
        <v>234</v>
      </c>
      <c r="F113" t="s">
        <v>44</v>
      </c>
      <c r="G113">
        <v>65</v>
      </c>
      <c r="H113">
        <v>28</v>
      </c>
      <c r="I113">
        <v>4.2</v>
      </c>
      <c r="R113" t="s">
        <v>235</v>
      </c>
    </row>
    <row r="114" spans="1:18" ht="16" x14ac:dyDescent="0.2">
      <c r="A114" t="s">
        <v>195</v>
      </c>
      <c r="B114">
        <v>2022</v>
      </c>
      <c r="C114">
        <v>4</v>
      </c>
      <c r="D114" t="s">
        <v>131</v>
      </c>
      <c r="E114" s="5" t="s">
        <v>208</v>
      </c>
      <c r="F114" t="s">
        <v>44</v>
      </c>
      <c r="G114">
        <v>40</v>
      </c>
      <c r="H114">
        <v>35</v>
      </c>
      <c r="I114">
        <v>4.2</v>
      </c>
    </row>
    <row r="115" spans="1:18" x14ac:dyDescent="0.2">
      <c r="A115" t="s">
        <v>84</v>
      </c>
      <c r="B115">
        <v>2023</v>
      </c>
      <c r="C115" t="s">
        <v>76</v>
      </c>
      <c r="D115" t="s">
        <v>70</v>
      </c>
      <c r="E115" t="s">
        <v>236</v>
      </c>
      <c r="F115" t="s">
        <v>44</v>
      </c>
      <c r="G115">
        <v>90</v>
      </c>
      <c r="H115">
        <v>40</v>
      </c>
      <c r="I115">
        <v>4.2</v>
      </c>
    </row>
    <row r="116" spans="1:18" ht="16" x14ac:dyDescent="0.2">
      <c r="A116" t="s">
        <v>115</v>
      </c>
      <c r="B116">
        <v>2018</v>
      </c>
      <c r="C116">
        <v>11</v>
      </c>
      <c r="D116" s="6" t="s">
        <v>237</v>
      </c>
      <c r="E116" s="5" t="s">
        <v>238</v>
      </c>
      <c r="F116" t="s">
        <v>55</v>
      </c>
      <c r="G116">
        <v>130</v>
      </c>
      <c r="H116">
        <v>80</v>
      </c>
      <c r="I116">
        <v>4.2</v>
      </c>
    </row>
    <row r="117" spans="1:18" x14ac:dyDescent="0.2">
      <c r="A117" t="s">
        <v>239</v>
      </c>
      <c r="B117">
        <v>2020</v>
      </c>
      <c r="C117">
        <v>1</v>
      </c>
      <c r="D117" s="6" t="s">
        <v>237</v>
      </c>
      <c r="E117" t="s">
        <v>240</v>
      </c>
      <c r="F117" t="s">
        <v>55</v>
      </c>
      <c r="G117">
        <v>130</v>
      </c>
      <c r="H117">
        <v>80</v>
      </c>
      <c r="I117">
        <v>4.2</v>
      </c>
    </row>
    <row r="118" spans="1:18" x14ac:dyDescent="0.2">
      <c r="A118" t="s">
        <v>84</v>
      </c>
      <c r="B118">
        <v>2023</v>
      </c>
      <c r="C118">
        <v>3</v>
      </c>
      <c r="D118" t="s">
        <v>241</v>
      </c>
      <c r="E118" t="s">
        <v>242</v>
      </c>
      <c r="F118" t="s">
        <v>44</v>
      </c>
      <c r="G118">
        <v>55</v>
      </c>
      <c r="H118">
        <v>5.3</v>
      </c>
      <c r="I118">
        <v>4.3</v>
      </c>
    </row>
    <row r="119" spans="1:18" x14ac:dyDescent="0.2">
      <c r="A119" t="s">
        <v>45</v>
      </c>
      <c r="B119">
        <v>2019</v>
      </c>
      <c r="C119">
        <v>12</v>
      </c>
      <c r="D119" t="s">
        <v>70</v>
      </c>
      <c r="E119" t="s">
        <v>243</v>
      </c>
      <c r="F119" t="s">
        <v>51</v>
      </c>
      <c r="G119">
        <v>45</v>
      </c>
      <c r="H119">
        <v>29</v>
      </c>
      <c r="I119">
        <v>4.3</v>
      </c>
      <c r="R119" t="s">
        <v>182</v>
      </c>
    </row>
    <row r="120" spans="1:18" x14ac:dyDescent="0.2">
      <c r="A120" t="s">
        <v>48</v>
      </c>
      <c r="B120">
        <v>2020</v>
      </c>
      <c r="C120">
        <v>8</v>
      </c>
      <c r="D120" t="s">
        <v>244</v>
      </c>
      <c r="E120" t="s">
        <v>245</v>
      </c>
      <c r="F120" t="s">
        <v>44</v>
      </c>
      <c r="G120">
        <v>65</v>
      </c>
      <c r="H120">
        <v>26</v>
      </c>
      <c r="I120">
        <v>4.4000000000000004</v>
      </c>
      <c r="R120" t="s">
        <v>182</v>
      </c>
    </row>
    <row r="121" spans="1:18" x14ac:dyDescent="0.2">
      <c r="A121" t="s">
        <v>217</v>
      </c>
      <c r="B121">
        <v>2022</v>
      </c>
      <c r="C121">
        <v>6</v>
      </c>
      <c r="D121" t="s">
        <v>246</v>
      </c>
      <c r="E121" t="s">
        <v>247</v>
      </c>
      <c r="F121" t="s">
        <v>55</v>
      </c>
      <c r="G121">
        <v>180</v>
      </c>
      <c r="H121">
        <v>35</v>
      </c>
      <c r="I121">
        <v>4.4000000000000004</v>
      </c>
    </row>
    <row r="122" spans="1:18" x14ac:dyDescent="0.2">
      <c r="A122" t="s">
        <v>105</v>
      </c>
      <c r="B122">
        <v>2021</v>
      </c>
      <c r="C122">
        <v>8</v>
      </c>
      <c r="D122" t="s">
        <v>248</v>
      </c>
      <c r="E122" t="s">
        <v>249</v>
      </c>
      <c r="F122" t="s">
        <v>51</v>
      </c>
      <c r="G122">
        <v>22</v>
      </c>
      <c r="H122">
        <v>60</v>
      </c>
      <c r="I122">
        <v>4.4000000000000004</v>
      </c>
    </row>
    <row r="123" spans="1:18" x14ac:dyDescent="0.2">
      <c r="A123" t="s">
        <v>250</v>
      </c>
      <c r="B123">
        <v>2022</v>
      </c>
      <c r="C123">
        <v>10</v>
      </c>
      <c r="D123" t="s">
        <v>251</v>
      </c>
      <c r="E123" t="s">
        <v>252</v>
      </c>
      <c r="F123" t="s">
        <v>44</v>
      </c>
      <c r="G123">
        <v>40</v>
      </c>
      <c r="H123">
        <v>60</v>
      </c>
      <c r="I123">
        <v>4.4000000000000004</v>
      </c>
    </row>
    <row r="124" spans="1:18" x14ac:dyDescent="0.2">
      <c r="A124" t="s">
        <v>84</v>
      </c>
      <c r="B124">
        <v>2023</v>
      </c>
      <c r="C124">
        <v>3</v>
      </c>
      <c r="D124" t="s">
        <v>213</v>
      </c>
      <c r="E124" t="s">
        <v>214</v>
      </c>
      <c r="F124" t="s">
        <v>44</v>
      </c>
      <c r="G124">
        <v>65</v>
      </c>
      <c r="H124">
        <v>38</v>
      </c>
      <c r="I124">
        <v>4.47</v>
      </c>
    </row>
    <row r="125" spans="1:18" ht="16" x14ac:dyDescent="0.2">
      <c r="A125" t="s">
        <v>59</v>
      </c>
      <c r="B125">
        <v>2022</v>
      </c>
      <c r="C125">
        <v>3</v>
      </c>
      <c r="D125" s="9" t="s">
        <v>253</v>
      </c>
      <c r="E125" s="5" t="s">
        <v>254</v>
      </c>
      <c r="F125" t="s">
        <v>44</v>
      </c>
      <c r="G125">
        <v>65</v>
      </c>
      <c r="H125">
        <v>2.14</v>
      </c>
      <c r="I125">
        <v>4.5</v>
      </c>
    </row>
    <row r="126" spans="1:18" x14ac:dyDescent="0.2">
      <c r="A126" t="s">
        <v>158</v>
      </c>
      <c r="B126">
        <v>2020</v>
      </c>
      <c r="C126">
        <v>8</v>
      </c>
      <c r="D126" t="s">
        <v>206</v>
      </c>
      <c r="E126" t="s">
        <v>207</v>
      </c>
      <c r="F126" t="s">
        <v>51</v>
      </c>
      <c r="G126">
        <v>45</v>
      </c>
      <c r="H126">
        <v>24</v>
      </c>
      <c r="I126">
        <v>4.5</v>
      </c>
    </row>
    <row r="127" spans="1:18" x14ac:dyDescent="0.2">
      <c r="A127" t="s">
        <v>158</v>
      </c>
      <c r="B127">
        <v>2020</v>
      </c>
      <c r="C127">
        <v>8</v>
      </c>
      <c r="D127" t="s">
        <v>206</v>
      </c>
      <c r="E127" t="s">
        <v>207</v>
      </c>
      <c r="F127" t="s">
        <v>51</v>
      </c>
      <c r="G127">
        <v>45</v>
      </c>
      <c r="H127">
        <v>28</v>
      </c>
      <c r="I127">
        <v>4.5</v>
      </c>
    </row>
    <row r="128" spans="1:18" x14ac:dyDescent="0.2">
      <c r="A128" t="s">
        <v>45</v>
      </c>
      <c r="B128">
        <v>2021</v>
      </c>
      <c r="C128">
        <v>5</v>
      </c>
      <c r="D128" t="s">
        <v>255</v>
      </c>
      <c r="E128" t="s">
        <v>256</v>
      </c>
      <c r="F128" t="s">
        <v>55</v>
      </c>
      <c r="G128">
        <v>130</v>
      </c>
      <c r="H128">
        <v>51</v>
      </c>
      <c r="I128">
        <v>4.5</v>
      </c>
    </row>
    <row r="129" spans="1:18" ht="16" x14ac:dyDescent="0.2">
      <c r="A129" t="s">
        <v>45</v>
      </c>
      <c r="B129">
        <v>2021</v>
      </c>
      <c r="C129">
        <v>5</v>
      </c>
      <c r="D129" t="s">
        <v>255</v>
      </c>
      <c r="E129" s="5" t="s">
        <v>256</v>
      </c>
      <c r="F129" t="s">
        <v>55</v>
      </c>
      <c r="G129">
        <v>130</v>
      </c>
      <c r="H129">
        <v>51</v>
      </c>
      <c r="I129">
        <v>4.5</v>
      </c>
    </row>
    <row r="130" spans="1:18" ht="16" x14ac:dyDescent="0.2">
      <c r="A130" t="s">
        <v>105</v>
      </c>
      <c r="B130">
        <v>2021</v>
      </c>
      <c r="C130">
        <v>1</v>
      </c>
      <c r="D130" t="s">
        <v>57</v>
      </c>
      <c r="E130" s="5" t="s">
        <v>257</v>
      </c>
      <c r="F130" t="s">
        <v>102</v>
      </c>
      <c r="G130">
        <v>130</v>
      </c>
      <c r="H130">
        <v>73</v>
      </c>
      <c r="I130">
        <v>4.5</v>
      </c>
    </row>
    <row r="131" spans="1:18" x14ac:dyDescent="0.2">
      <c r="A131" t="s">
        <v>99</v>
      </c>
      <c r="B131">
        <v>2021</v>
      </c>
      <c r="C131">
        <v>1</v>
      </c>
      <c r="D131" t="s">
        <v>57</v>
      </c>
      <c r="E131" t="s">
        <v>257</v>
      </c>
      <c r="F131" t="s">
        <v>55</v>
      </c>
      <c r="G131">
        <v>130</v>
      </c>
      <c r="H131">
        <v>76</v>
      </c>
      <c r="I131">
        <v>4.5</v>
      </c>
    </row>
    <row r="132" spans="1:18" x14ac:dyDescent="0.2">
      <c r="A132" t="s">
        <v>105</v>
      </c>
      <c r="B132">
        <v>2015</v>
      </c>
      <c r="C132">
        <v>1</v>
      </c>
      <c r="D132" t="s">
        <v>221</v>
      </c>
      <c r="E132" t="s">
        <v>258</v>
      </c>
      <c r="F132" t="s">
        <v>55</v>
      </c>
      <c r="G132" t="s">
        <v>259</v>
      </c>
      <c r="H132">
        <v>110</v>
      </c>
      <c r="I132">
        <v>4.5</v>
      </c>
    </row>
    <row r="133" spans="1:18" x14ac:dyDescent="0.2">
      <c r="A133" t="s">
        <v>56</v>
      </c>
      <c r="B133">
        <v>2020</v>
      </c>
      <c r="C133">
        <v>8</v>
      </c>
      <c r="D133" t="s">
        <v>210</v>
      </c>
      <c r="E133" t="s">
        <v>260</v>
      </c>
      <c r="F133" t="s">
        <v>44</v>
      </c>
      <c r="G133">
        <v>28</v>
      </c>
      <c r="H133">
        <v>33</v>
      </c>
      <c r="I133">
        <v>4.55</v>
      </c>
    </row>
    <row r="134" spans="1:18" x14ac:dyDescent="0.2">
      <c r="A134" t="s">
        <v>105</v>
      </c>
      <c r="B134">
        <v>2022</v>
      </c>
      <c r="C134">
        <v>4</v>
      </c>
      <c r="D134" t="s">
        <v>261</v>
      </c>
      <c r="E134" t="s">
        <v>262</v>
      </c>
      <c r="F134" t="s">
        <v>44</v>
      </c>
      <c r="G134">
        <v>28</v>
      </c>
      <c r="H134">
        <v>74</v>
      </c>
      <c r="I134">
        <v>4.5599999999999996</v>
      </c>
    </row>
    <row r="135" spans="1:18" x14ac:dyDescent="0.2">
      <c r="A135" t="s">
        <v>115</v>
      </c>
      <c r="B135">
        <v>2022</v>
      </c>
      <c r="C135">
        <v>11</v>
      </c>
      <c r="D135" t="s">
        <v>70</v>
      </c>
      <c r="E135" t="s">
        <v>263</v>
      </c>
      <c r="F135" t="s">
        <v>44</v>
      </c>
      <c r="G135">
        <v>180</v>
      </c>
      <c r="H135">
        <v>20.5</v>
      </c>
      <c r="I135">
        <v>4.5999999999999996</v>
      </c>
    </row>
    <row r="136" spans="1:18" x14ac:dyDescent="0.2">
      <c r="A136" t="s">
        <v>62</v>
      </c>
      <c r="B136">
        <v>2023</v>
      </c>
      <c r="C136">
        <v>2</v>
      </c>
      <c r="D136" t="s">
        <v>264</v>
      </c>
      <c r="E136" t="s">
        <v>265</v>
      </c>
      <c r="F136" t="s">
        <v>44</v>
      </c>
      <c r="G136">
        <v>40</v>
      </c>
      <c r="H136">
        <v>73</v>
      </c>
      <c r="I136">
        <v>4.5999999999999996</v>
      </c>
    </row>
    <row r="137" spans="1:18" x14ac:dyDescent="0.2">
      <c r="A137" t="s">
        <v>59</v>
      </c>
      <c r="B137">
        <v>2020</v>
      </c>
      <c r="C137">
        <v>1</v>
      </c>
      <c r="D137" t="s">
        <v>160</v>
      </c>
      <c r="E137" t="s">
        <v>266</v>
      </c>
      <c r="F137" t="s">
        <v>51</v>
      </c>
      <c r="G137">
        <v>22</v>
      </c>
      <c r="H137">
        <v>77</v>
      </c>
      <c r="I137">
        <v>4.5999999999999996</v>
      </c>
    </row>
    <row r="138" spans="1:18" ht="16" x14ac:dyDescent="0.2">
      <c r="A138" t="s">
        <v>217</v>
      </c>
      <c r="B138">
        <v>2021</v>
      </c>
      <c r="C138">
        <v>5</v>
      </c>
      <c r="D138" t="s">
        <v>246</v>
      </c>
      <c r="E138" s="5" t="s">
        <v>267</v>
      </c>
      <c r="F138" t="s">
        <v>44</v>
      </c>
      <c r="G138">
        <v>65</v>
      </c>
      <c r="H138">
        <v>20</v>
      </c>
      <c r="I138">
        <v>4.7</v>
      </c>
    </row>
    <row r="139" spans="1:18" ht="16" x14ac:dyDescent="0.2">
      <c r="A139" t="s">
        <v>56</v>
      </c>
      <c r="B139">
        <v>2021</v>
      </c>
      <c r="C139">
        <v>6</v>
      </c>
      <c r="D139" t="s">
        <v>268</v>
      </c>
      <c r="E139" s="5" t="s">
        <v>269</v>
      </c>
      <c r="F139" t="s">
        <v>44</v>
      </c>
      <c r="G139">
        <v>90</v>
      </c>
      <c r="H139">
        <v>36</v>
      </c>
      <c r="I139">
        <v>4.7</v>
      </c>
    </row>
    <row r="140" spans="1:18" ht="16" x14ac:dyDescent="0.2">
      <c r="A140" t="s">
        <v>59</v>
      </c>
      <c r="B140">
        <v>2021</v>
      </c>
      <c r="C140">
        <v>5</v>
      </c>
      <c r="D140" t="s">
        <v>270</v>
      </c>
      <c r="E140" s="5" t="s">
        <v>271</v>
      </c>
      <c r="F140" t="s">
        <v>44</v>
      </c>
      <c r="G140">
        <v>65</v>
      </c>
      <c r="H140">
        <v>148</v>
      </c>
      <c r="I140">
        <v>4.7</v>
      </c>
    </row>
    <row r="141" spans="1:18" x14ac:dyDescent="0.2">
      <c r="A141" t="s">
        <v>59</v>
      </c>
      <c r="B141">
        <v>2021</v>
      </c>
      <c r="C141">
        <v>5</v>
      </c>
      <c r="D141" t="s">
        <v>210</v>
      </c>
      <c r="E141" t="s">
        <v>272</v>
      </c>
      <c r="F141" t="s">
        <v>44</v>
      </c>
      <c r="G141">
        <v>28</v>
      </c>
      <c r="H141">
        <v>27</v>
      </c>
      <c r="I141">
        <v>4.78</v>
      </c>
      <c r="R141" t="s">
        <v>182</v>
      </c>
    </row>
    <row r="142" spans="1:18" ht="32" x14ac:dyDescent="0.2">
      <c r="A142" t="s">
        <v>45</v>
      </c>
      <c r="B142">
        <v>2022</v>
      </c>
      <c r="C142">
        <v>2</v>
      </c>
      <c r="D142" t="s">
        <v>187</v>
      </c>
      <c r="E142" s="5" t="s">
        <v>188</v>
      </c>
      <c r="F142" t="s">
        <v>44</v>
      </c>
      <c r="G142">
        <v>28</v>
      </c>
      <c r="H142">
        <v>1.7</v>
      </c>
      <c r="I142">
        <v>4.8</v>
      </c>
    </row>
    <row r="143" spans="1:18" x14ac:dyDescent="0.2">
      <c r="A143" t="s">
        <v>48</v>
      </c>
      <c r="B143">
        <v>2021</v>
      </c>
      <c r="C143">
        <v>6</v>
      </c>
      <c r="D143" t="s">
        <v>273</v>
      </c>
      <c r="E143" t="s">
        <v>274</v>
      </c>
      <c r="F143" t="s">
        <v>55</v>
      </c>
      <c r="G143">
        <v>90</v>
      </c>
      <c r="H143">
        <v>30</v>
      </c>
      <c r="I143">
        <v>4.8</v>
      </c>
    </row>
    <row r="144" spans="1:18" x14ac:dyDescent="0.2">
      <c r="A144" t="s">
        <v>48</v>
      </c>
      <c r="B144">
        <v>2022</v>
      </c>
      <c r="C144">
        <v>6</v>
      </c>
      <c r="D144" t="s">
        <v>65</v>
      </c>
      <c r="E144" t="s">
        <v>275</v>
      </c>
      <c r="F144" t="s">
        <v>44</v>
      </c>
      <c r="G144">
        <v>65</v>
      </c>
      <c r="H144">
        <v>32</v>
      </c>
      <c r="I144">
        <v>4.8</v>
      </c>
    </row>
    <row r="145" spans="1:18" x14ac:dyDescent="0.2">
      <c r="A145" t="s">
        <v>56</v>
      </c>
      <c r="B145">
        <v>2020</v>
      </c>
      <c r="C145">
        <v>8</v>
      </c>
      <c r="D145" t="s">
        <v>125</v>
      </c>
      <c r="E145" t="s">
        <v>276</v>
      </c>
      <c r="F145" t="s">
        <v>55</v>
      </c>
      <c r="G145">
        <v>90</v>
      </c>
      <c r="H145">
        <v>35</v>
      </c>
      <c r="I145">
        <v>4.8</v>
      </c>
    </row>
    <row r="146" spans="1:18" x14ac:dyDescent="0.2">
      <c r="A146" t="s">
        <v>105</v>
      </c>
      <c r="B146">
        <v>2022</v>
      </c>
      <c r="C146">
        <v>3</v>
      </c>
      <c r="D146" t="s">
        <v>77</v>
      </c>
      <c r="E146" t="s">
        <v>277</v>
      </c>
      <c r="F146" t="s">
        <v>44</v>
      </c>
      <c r="G146">
        <v>90</v>
      </c>
      <c r="H146">
        <v>76</v>
      </c>
      <c r="I146">
        <v>4.8</v>
      </c>
    </row>
    <row r="147" spans="1:18" ht="16" x14ac:dyDescent="0.2">
      <c r="A147" t="s">
        <v>45</v>
      </c>
      <c r="B147">
        <v>2020</v>
      </c>
      <c r="C147">
        <v>12</v>
      </c>
      <c r="D147" t="s">
        <v>57</v>
      </c>
      <c r="E147" s="5" t="s">
        <v>278</v>
      </c>
      <c r="F147" t="s">
        <v>51</v>
      </c>
      <c r="G147">
        <v>45</v>
      </c>
      <c r="H147">
        <v>78</v>
      </c>
      <c r="I147">
        <v>4.8</v>
      </c>
    </row>
    <row r="148" spans="1:18" x14ac:dyDescent="0.2">
      <c r="A148" t="s">
        <v>217</v>
      </c>
      <c r="B148">
        <v>2020</v>
      </c>
      <c r="C148">
        <v>9</v>
      </c>
      <c r="D148" t="s">
        <v>279</v>
      </c>
      <c r="E148" s="7" t="s">
        <v>280</v>
      </c>
      <c r="F148" t="s">
        <v>55</v>
      </c>
      <c r="G148">
        <v>130</v>
      </c>
      <c r="H148">
        <v>100</v>
      </c>
      <c r="I148">
        <v>4.8</v>
      </c>
    </row>
    <row r="149" spans="1:18" x14ac:dyDescent="0.2">
      <c r="A149" t="s">
        <v>79</v>
      </c>
      <c r="B149">
        <v>2021</v>
      </c>
      <c r="C149">
        <v>1</v>
      </c>
      <c r="D149" t="s">
        <v>42</v>
      </c>
      <c r="E149" t="s">
        <v>281</v>
      </c>
      <c r="F149" t="s">
        <v>51</v>
      </c>
      <c r="G149">
        <v>22</v>
      </c>
      <c r="H149">
        <v>38</v>
      </c>
      <c r="I149">
        <v>4.9000000000000004</v>
      </c>
    </row>
    <row r="150" spans="1:18" x14ac:dyDescent="0.2">
      <c r="A150" t="s">
        <v>158</v>
      </c>
      <c r="B150">
        <v>2020</v>
      </c>
      <c r="C150">
        <v>8</v>
      </c>
      <c r="D150" t="s">
        <v>206</v>
      </c>
      <c r="E150" t="s">
        <v>207</v>
      </c>
      <c r="F150" t="s">
        <v>51</v>
      </c>
      <c r="G150">
        <v>45</v>
      </c>
      <c r="H150">
        <v>39</v>
      </c>
      <c r="I150">
        <v>4.9000000000000004</v>
      </c>
    </row>
    <row r="151" spans="1:18" ht="16" x14ac:dyDescent="0.2">
      <c r="A151" t="s">
        <v>195</v>
      </c>
      <c r="B151">
        <v>2021</v>
      </c>
      <c r="C151">
        <v>5</v>
      </c>
      <c r="D151" t="s">
        <v>244</v>
      </c>
      <c r="E151" s="5" t="s">
        <v>282</v>
      </c>
      <c r="F151" t="s">
        <v>44</v>
      </c>
      <c r="G151">
        <v>65</v>
      </c>
      <c r="H151">
        <v>95.6</v>
      </c>
      <c r="I151">
        <v>4.9000000000000004</v>
      </c>
    </row>
    <row r="152" spans="1:18" x14ac:dyDescent="0.2">
      <c r="A152" t="s">
        <v>48</v>
      </c>
      <c r="B152">
        <v>2020</v>
      </c>
      <c r="C152">
        <v>8</v>
      </c>
      <c r="D152" t="s">
        <v>77</v>
      </c>
      <c r="E152" t="s">
        <v>283</v>
      </c>
      <c r="F152" t="s">
        <v>44</v>
      </c>
      <c r="G152">
        <v>65</v>
      </c>
      <c r="H152">
        <v>19</v>
      </c>
      <c r="I152">
        <v>5</v>
      </c>
    </row>
    <row r="153" spans="1:18" x14ac:dyDescent="0.2">
      <c r="A153" t="s">
        <v>48</v>
      </c>
      <c r="B153">
        <v>2020</v>
      </c>
      <c r="C153">
        <v>8</v>
      </c>
      <c r="D153" t="s">
        <v>77</v>
      </c>
      <c r="E153" t="s">
        <v>283</v>
      </c>
      <c r="F153" t="s">
        <v>44</v>
      </c>
      <c r="G153">
        <v>65</v>
      </c>
      <c r="H153">
        <v>19</v>
      </c>
      <c r="I153">
        <v>5</v>
      </c>
    </row>
    <row r="154" spans="1:18" x14ac:dyDescent="0.2">
      <c r="A154" t="s">
        <v>99</v>
      </c>
      <c r="B154">
        <v>2021</v>
      </c>
      <c r="C154">
        <v>1</v>
      </c>
      <c r="D154" t="s">
        <v>284</v>
      </c>
      <c r="E154" t="s">
        <v>285</v>
      </c>
      <c r="F154" t="s">
        <v>51</v>
      </c>
      <c r="G154">
        <v>22</v>
      </c>
      <c r="H154">
        <v>25</v>
      </c>
      <c r="I154">
        <v>5</v>
      </c>
      <c r="R154" t="s">
        <v>182</v>
      </c>
    </row>
    <row r="155" spans="1:18" ht="16" x14ac:dyDescent="0.2">
      <c r="A155" t="s">
        <v>217</v>
      </c>
      <c r="B155">
        <v>2021</v>
      </c>
      <c r="C155">
        <v>5</v>
      </c>
      <c r="D155" t="s">
        <v>246</v>
      </c>
      <c r="E155" s="5" t="s">
        <v>267</v>
      </c>
      <c r="F155" t="s">
        <v>44</v>
      </c>
      <c r="G155">
        <v>65</v>
      </c>
      <c r="H155">
        <v>26</v>
      </c>
      <c r="I155">
        <v>5</v>
      </c>
    </row>
    <row r="156" spans="1:18" ht="16" x14ac:dyDescent="0.2">
      <c r="A156" t="s">
        <v>105</v>
      </c>
      <c r="B156">
        <v>2022</v>
      </c>
      <c r="C156">
        <v>4</v>
      </c>
      <c r="D156" t="s">
        <v>137</v>
      </c>
      <c r="E156" s="5" t="s">
        <v>286</v>
      </c>
      <c r="F156" t="s">
        <v>44</v>
      </c>
      <c r="G156">
        <v>65</v>
      </c>
      <c r="H156">
        <v>28</v>
      </c>
      <c r="I156">
        <v>5</v>
      </c>
    </row>
    <row r="157" spans="1:18" x14ac:dyDescent="0.2">
      <c r="A157" t="s">
        <v>56</v>
      </c>
      <c r="B157">
        <v>2021</v>
      </c>
      <c r="C157">
        <v>6</v>
      </c>
      <c r="D157" t="s">
        <v>210</v>
      </c>
      <c r="E157" t="s">
        <v>211</v>
      </c>
      <c r="F157" t="s">
        <v>212</v>
      </c>
      <c r="G157">
        <v>28</v>
      </c>
      <c r="H157">
        <v>40</v>
      </c>
      <c r="I157">
        <v>5</v>
      </c>
    </row>
    <row r="158" spans="1:18" x14ac:dyDescent="0.2">
      <c r="A158" t="s">
        <v>45</v>
      </c>
      <c r="B158">
        <v>2023</v>
      </c>
      <c r="C158">
        <v>4</v>
      </c>
      <c r="D158" t="s">
        <v>57</v>
      </c>
      <c r="E158" t="s">
        <v>287</v>
      </c>
      <c r="F158" t="s">
        <v>44</v>
      </c>
      <c r="G158">
        <v>65</v>
      </c>
      <c r="H158">
        <v>41</v>
      </c>
      <c r="I158">
        <v>5</v>
      </c>
    </row>
    <row r="159" spans="1:18" x14ac:dyDescent="0.2">
      <c r="A159" t="s">
        <v>48</v>
      </c>
      <c r="B159">
        <v>2022</v>
      </c>
      <c r="C159">
        <v>6</v>
      </c>
      <c r="D159" t="s">
        <v>288</v>
      </c>
      <c r="E159" t="s">
        <v>289</v>
      </c>
      <c r="F159" t="s">
        <v>44</v>
      </c>
      <c r="G159">
        <v>65</v>
      </c>
      <c r="H159">
        <v>57</v>
      </c>
      <c r="I159">
        <v>5</v>
      </c>
    </row>
    <row r="160" spans="1:18" x14ac:dyDescent="0.2">
      <c r="A160" t="s">
        <v>56</v>
      </c>
      <c r="B160">
        <v>2021</v>
      </c>
      <c r="C160">
        <v>6</v>
      </c>
      <c r="D160" t="s">
        <v>210</v>
      </c>
      <c r="E160" t="s">
        <v>211</v>
      </c>
      <c r="F160" t="s">
        <v>212</v>
      </c>
      <c r="G160">
        <v>28</v>
      </c>
      <c r="H160">
        <v>60</v>
      </c>
      <c r="I160">
        <v>5</v>
      </c>
    </row>
    <row r="161" spans="1:18" x14ac:dyDescent="0.2">
      <c r="A161" t="s">
        <v>99</v>
      </c>
      <c r="B161">
        <v>2021</v>
      </c>
      <c r="C161">
        <v>1</v>
      </c>
      <c r="D161" t="s">
        <v>57</v>
      </c>
      <c r="E161" t="s">
        <v>257</v>
      </c>
      <c r="F161" t="s">
        <v>55</v>
      </c>
      <c r="G161">
        <v>130</v>
      </c>
      <c r="H161">
        <v>83</v>
      </c>
      <c r="I161">
        <v>5</v>
      </c>
    </row>
    <row r="162" spans="1:18" x14ac:dyDescent="0.2">
      <c r="A162" t="s">
        <v>105</v>
      </c>
      <c r="B162">
        <v>2017</v>
      </c>
      <c r="C162">
        <v>2</v>
      </c>
      <c r="D162" t="s">
        <v>290</v>
      </c>
      <c r="E162" t="s">
        <v>291</v>
      </c>
      <c r="F162" t="s">
        <v>51</v>
      </c>
      <c r="G162">
        <v>28</v>
      </c>
      <c r="H162">
        <v>105</v>
      </c>
      <c r="I162">
        <v>5</v>
      </c>
    </row>
    <row r="163" spans="1:18" ht="16" x14ac:dyDescent="0.2">
      <c r="A163" t="s">
        <v>292</v>
      </c>
      <c r="B163">
        <v>2021</v>
      </c>
      <c r="C163">
        <v>1</v>
      </c>
      <c r="D163" t="s">
        <v>293</v>
      </c>
      <c r="E163" s="5" t="s">
        <v>294</v>
      </c>
      <c r="F163" t="s">
        <v>102</v>
      </c>
      <c r="G163">
        <v>130</v>
      </c>
      <c r="H163">
        <v>110</v>
      </c>
      <c r="I163">
        <v>5</v>
      </c>
    </row>
    <row r="164" spans="1:18" x14ac:dyDescent="0.2">
      <c r="A164" t="s">
        <v>45</v>
      </c>
      <c r="B164">
        <v>2021</v>
      </c>
      <c r="C164">
        <v>6</v>
      </c>
      <c r="D164" t="s">
        <v>295</v>
      </c>
      <c r="E164" t="s">
        <v>296</v>
      </c>
      <c r="F164" t="s">
        <v>44</v>
      </c>
      <c r="G164">
        <v>40</v>
      </c>
      <c r="H164">
        <v>123</v>
      </c>
      <c r="I164">
        <v>5</v>
      </c>
    </row>
    <row r="165" spans="1:18" x14ac:dyDescent="0.2">
      <c r="A165" t="s">
        <v>232</v>
      </c>
      <c r="B165">
        <v>2021</v>
      </c>
      <c r="C165">
        <v>4</v>
      </c>
      <c r="D165" t="s">
        <v>97</v>
      </c>
      <c r="E165" t="s">
        <v>297</v>
      </c>
      <c r="F165" t="s">
        <v>44</v>
      </c>
      <c r="G165">
        <v>55</v>
      </c>
      <c r="H165">
        <v>75</v>
      </c>
      <c r="I165">
        <v>5.09</v>
      </c>
    </row>
    <row r="166" spans="1:18" ht="16" x14ac:dyDescent="0.2">
      <c r="A166" t="s">
        <v>41</v>
      </c>
      <c r="B166">
        <v>2021</v>
      </c>
      <c r="C166">
        <v>11</v>
      </c>
      <c r="D166" t="s">
        <v>70</v>
      </c>
      <c r="E166" s="5" t="s">
        <v>298</v>
      </c>
      <c r="F166" t="s">
        <v>44</v>
      </c>
      <c r="G166">
        <v>65</v>
      </c>
      <c r="H166">
        <v>26</v>
      </c>
      <c r="I166">
        <v>5.0999999999999996</v>
      </c>
    </row>
    <row r="167" spans="1:18" x14ac:dyDescent="0.2">
      <c r="A167" t="s">
        <v>59</v>
      </c>
      <c r="B167">
        <v>2021</v>
      </c>
      <c r="C167">
        <v>5</v>
      </c>
      <c r="D167" t="s">
        <v>210</v>
      </c>
      <c r="E167" t="s">
        <v>272</v>
      </c>
      <c r="F167" t="s">
        <v>44</v>
      </c>
      <c r="G167">
        <v>28</v>
      </c>
      <c r="H167">
        <v>30</v>
      </c>
      <c r="I167">
        <v>5.12</v>
      </c>
      <c r="R167" t="s">
        <v>182</v>
      </c>
    </row>
    <row r="168" spans="1:18" x14ac:dyDescent="0.2">
      <c r="A168" t="s">
        <v>250</v>
      </c>
      <c r="B168">
        <v>2020</v>
      </c>
      <c r="C168">
        <v>11</v>
      </c>
      <c r="D168" t="s">
        <v>299</v>
      </c>
      <c r="E168" t="s">
        <v>300</v>
      </c>
      <c r="F168" t="s">
        <v>44</v>
      </c>
      <c r="G168">
        <v>65</v>
      </c>
      <c r="H168">
        <v>26</v>
      </c>
      <c r="I168">
        <v>5.2</v>
      </c>
    </row>
    <row r="169" spans="1:18" ht="32" x14ac:dyDescent="0.2">
      <c r="A169" t="s">
        <v>62</v>
      </c>
      <c r="B169">
        <v>2022</v>
      </c>
      <c r="C169">
        <v>2</v>
      </c>
      <c r="D169" t="s">
        <v>301</v>
      </c>
      <c r="E169" s="5" t="s">
        <v>302</v>
      </c>
      <c r="F169" t="s">
        <v>51</v>
      </c>
      <c r="G169">
        <v>45</v>
      </c>
      <c r="H169">
        <v>26</v>
      </c>
      <c r="I169">
        <v>5.2</v>
      </c>
    </row>
    <row r="170" spans="1:18" x14ac:dyDescent="0.2">
      <c r="A170" t="s">
        <v>62</v>
      </c>
      <c r="B170">
        <v>2022</v>
      </c>
      <c r="C170">
        <v>2</v>
      </c>
      <c r="D170" t="s">
        <v>301</v>
      </c>
      <c r="E170" t="s">
        <v>302</v>
      </c>
      <c r="F170" t="s">
        <v>51</v>
      </c>
      <c r="G170">
        <v>45</v>
      </c>
      <c r="H170">
        <v>27</v>
      </c>
      <c r="I170">
        <v>5.2</v>
      </c>
    </row>
    <row r="171" spans="1:18" x14ac:dyDescent="0.2">
      <c r="A171" t="s">
        <v>79</v>
      </c>
      <c r="B171">
        <v>2021</v>
      </c>
      <c r="C171">
        <v>1</v>
      </c>
      <c r="D171" t="s">
        <v>42</v>
      </c>
      <c r="E171" t="s">
        <v>281</v>
      </c>
      <c r="F171" t="s">
        <v>51</v>
      </c>
      <c r="G171">
        <v>22</v>
      </c>
      <c r="H171">
        <v>28</v>
      </c>
      <c r="I171">
        <v>5.2</v>
      </c>
    </row>
    <row r="172" spans="1:18" ht="16" x14ac:dyDescent="0.2">
      <c r="A172" t="s">
        <v>105</v>
      </c>
      <c r="B172">
        <v>2021</v>
      </c>
      <c r="C172">
        <v>5</v>
      </c>
      <c r="D172" t="s">
        <v>210</v>
      </c>
      <c r="E172" s="5" t="s">
        <v>303</v>
      </c>
      <c r="F172" t="s">
        <v>44</v>
      </c>
      <c r="G172">
        <v>28</v>
      </c>
      <c r="H172">
        <v>89</v>
      </c>
      <c r="I172">
        <v>5.2</v>
      </c>
    </row>
    <row r="173" spans="1:18" x14ac:dyDescent="0.2">
      <c r="A173" t="s">
        <v>124</v>
      </c>
      <c r="B173">
        <v>2018</v>
      </c>
      <c r="C173">
        <v>11</v>
      </c>
      <c r="D173" t="s">
        <v>304</v>
      </c>
      <c r="E173" t="s">
        <v>305</v>
      </c>
      <c r="F173" t="s">
        <v>51</v>
      </c>
      <c r="G173">
        <v>45</v>
      </c>
      <c r="H173">
        <v>140</v>
      </c>
      <c r="I173">
        <v>5.2</v>
      </c>
      <c r="R173" t="s">
        <v>91</v>
      </c>
    </row>
    <row r="174" spans="1:18" x14ac:dyDescent="0.2">
      <c r="A174" t="s">
        <v>306</v>
      </c>
      <c r="B174">
        <v>2020</v>
      </c>
      <c r="C174">
        <v>6</v>
      </c>
      <c r="D174" t="s">
        <v>229</v>
      </c>
      <c r="E174" t="s">
        <v>307</v>
      </c>
      <c r="F174" t="s">
        <v>44</v>
      </c>
      <c r="G174">
        <v>65</v>
      </c>
      <c r="H174">
        <v>28</v>
      </c>
      <c r="I174">
        <v>5.4</v>
      </c>
      <c r="R174" t="s">
        <v>308</v>
      </c>
    </row>
    <row r="175" spans="1:18" x14ac:dyDescent="0.2">
      <c r="A175" t="s">
        <v>232</v>
      </c>
      <c r="B175">
        <v>2021</v>
      </c>
      <c r="C175">
        <v>4</v>
      </c>
      <c r="D175" t="s">
        <v>42</v>
      </c>
      <c r="E175" t="s">
        <v>309</v>
      </c>
      <c r="F175" t="s">
        <v>44</v>
      </c>
      <c r="G175">
        <v>40</v>
      </c>
      <c r="H175">
        <v>32</v>
      </c>
      <c r="I175">
        <v>5.4</v>
      </c>
    </row>
    <row r="176" spans="1:18" ht="16" x14ac:dyDescent="0.2">
      <c r="A176" t="s">
        <v>105</v>
      </c>
      <c r="B176">
        <v>2022</v>
      </c>
      <c r="C176">
        <v>1</v>
      </c>
      <c r="D176" t="s">
        <v>57</v>
      </c>
      <c r="E176" s="5" t="s">
        <v>310</v>
      </c>
      <c r="F176" t="s">
        <v>44</v>
      </c>
      <c r="G176">
        <v>90</v>
      </c>
      <c r="H176">
        <v>55</v>
      </c>
      <c r="I176">
        <v>5.4</v>
      </c>
    </row>
    <row r="177" spans="1:18" x14ac:dyDescent="0.2">
      <c r="A177" t="s">
        <v>105</v>
      </c>
      <c r="B177">
        <v>2021</v>
      </c>
      <c r="C177" t="s">
        <v>76</v>
      </c>
      <c r="D177" t="s">
        <v>57</v>
      </c>
      <c r="E177" t="s">
        <v>311</v>
      </c>
      <c r="F177" t="s">
        <v>44</v>
      </c>
      <c r="G177">
        <v>90</v>
      </c>
      <c r="H177">
        <v>56</v>
      </c>
      <c r="I177">
        <v>5.4</v>
      </c>
    </row>
    <row r="178" spans="1:18" x14ac:dyDescent="0.2">
      <c r="A178" t="s">
        <v>52</v>
      </c>
      <c r="B178">
        <v>2022</v>
      </c>
      <c r="C178">
        <v>9</v>
      </c>
      <c r="D178" t="s">
        <v>312</v>
      </c>
      <c r="E178" t="s">
        <v>313</v>
      </c>
      <c r="F178" t="s">
        <v>55</v>
      </c>
      <c r="G178">
        <v>130</v>
      </c>
      <c r="H178">
        <v>27</v>
      </c>
      <c r="I178">
        <v>5.5</v>
      </c>
      <c r="R178" t="s">
        <v>67</v>
      </c>
    </row>
    <row r="179" spans="1:18" x14ac:dyDescent="0.2">
      <c r="A179" t="s">
        <v>56</v>
      </c>
      <c r="B179">
        <v>2022</v>
      </c>
      <c r="C179">
        <v>6</v>
      </c>
      <c r="D179" t="s">
        <v>314</v>
      </c>
      <c r="E179" t="s">
        <v>315</v>
      </c>
      <c r="F179" t="s">
        <v>51</v>
      </c>
      <c r="G179">
        <v>22</v>
      </c>
      <c r="H179">
        <v>30.1</v>
      </c>
      <c r="I179">
        <v>5.5</v>
      </c>
    </row>
    <row r="180" spans="1:18" x14ac:dyDescent="0.2">
      <c r="A180" t="s">
        <v>41</v>
      </c>
      <c r="B180">
        <v>2022</v>
      </c>
      <c r="C180">
        <v>11</v>
      </c>
      <c r="D180" t="s">
        <v>57</v>
      </c>
      <c r="E180" t="s">
        <v>316</v>
      </c>
      <c r="F180" t="s">
        <v>44</v>
      </c>
      <c r="G180">
        <v>65</v>
      </c>
      <c r="H180">
        <v>35</v>
      </c>
      <c r="I180">
        <v>5.5</v>
      </c>
      <c r="R180" t="s">
        <v>67</v>
      </c>
    </row>
    <row r="181" spans="1:18" x14ac:dyDescent="0.2">
      <c r="A181" t="s">
        <v>158</v>
      </c>
      <c r="B181">
        <v>2020</v>
      </c>
      <c r="C181">
        <v>8</v>
      </c>
      <c r="D181" t="s">
        <v>206</v>
      </c>
      <c r="E181" t="s">
        <v>207</v>
      </c>
      <c r="F181" t="s">
        <v>51</v>
      </c>
      <c r="G181">
        <v>45</v>
      </c>
      <c r="H181">
        <v>39</v>
      </c>
      <c r="I181">
        <v>5.5</v>
      </c>
    </row>
    <row r="182" spans="1:18" x14ac:dyDescent="0.2">
      <c r="A182" t="s">
        <v>79</v>
      </c>
      <c r="B182">
        <v>2021</v>
      </c>
      <c r="C182">
        <v>1</v>
      </c>
      <c r="D182" t="s">
        <v>317</v>
      </c>
      <c r="E182" t="s">
        <v>318</v>
      </c>
      <c r="F182" t="s">
        <v>44</v>
      </c>
      <c r="G182">
        <v>130</v>
      </c>
      <c r="H182">
        <v>40</v>
      </c>
      <c r="I182">
        <v>5.5</v>
      </c>
    </row>
    <row r="183" spans="1:18" x14ac:dyDescent="0.2">
      <c r="A183" t="s">
        <v>48</v>
      </c>
      <c r="B183">
        <v>2022</v>
      </c>
      <c r="C183">
        <v>6</v>
      </c>
      <c r="D183" t="s">
        <v>319</v>
      </c>
      <c r="E183" t="s">
        <v>320</v>
      </c>
      <c r="F183" t="s">
        <v>51</v>
      </c>
      <c r="G183">
        <v>28</v>
      </c>
      <c r="H183">
        <v>81</v>
      </c>
      <c r="I183">
        <v>5.5</v>
      </c>
    </row>
    <row r="184" spans="1:18" x14ac:dyDescent="0.2">
      <c r="A184" t="s">
        <v>99</v>
      </c>
      <c r="B184">
        <v>2021</v>
      </c>
      <c r="C184">
        <v>1</v>
      </c>
      <c r="D184" t="s">
        <v>57</v>
      </c>
      <c r="E184" t="s">
        <v>257</v>
      </c>
      <c r="F184" t="s">
        <v>55</v>
      </c>
      <c r="G184">
        <v>130</v>
      </c>
      <c r="H184">
        <v>85</v>
      </c>
      <c r="I184">
        <v>5.5</v>
      </c>
    </row>
    <row r="185" spans="1:18" x14ac:dyDescent="0.2">
      <c r="A185" t="s">
        <v>105</v>
      </c>
      <c r="B185">
        <v>2015</v>
      </c>
      <c r="C185">
        <v>1</v>
      </c>
      <c r="D185" t="s">
        <v>221</v>
      </c>
      <c r="E185" t="s">
        <v>258</v>
      </c>
      <c r="F185" t="s">
        <v>55</v>
      </c>
      <c r="G185" t="s">
        <v>259</v>
      </c>
      <c r="H185">
        <v>140</v>
      </c>
      <c r="I185">
        <v>5.5</v>
      </c>
    </row>
    <row r="186" spans="1:18" x14ac:dyDescent="0.2">
      <c r="A186" t="s">
        <v>56</v>
      </c>
      <c r="B186">
        <v>2020</v>
      </c>
      <c r="C186">
        <v>8</v>
      </c>
      <c r="D186" t="s">
        <v>210</v>
      </c>
      <c r="E186" t="s">
        <v>260</v>
      </c>
      <c r="F186" t="s">
        <v>44</v>
      </c>
      <c r="G186">
        <v>28</v>
      </c>
      <c r="H186">
        <v>24</v>
      </c>
      <c r="I186">
        <v>5.63</v>
      </c>
    </row>
    <row r="187" spans="1:18" x14ac:dyDescent="0.2">
      <c r="A187" t="s">
        <v>158</v>
      </c>
      <c r="B187">
        <v>2020</v>
      </c>
      <c r="C187">
        <v>9</v>
      </c>
      <c r="D187" t="s">
        <v>151</v>
      </c>
      <c r="E187" t="s">
        <v>321</v>
      </c>
      <c r="F187" t="s">
        <v>55</v>
      </c>
      <c r="G187">
        <v>180</v>
      </c>
      <c r="H187">
        <v>44</v>
      </c>
      <c r="I187">
        <v>5.7</v>
      </c>
    </row>
    <row r="188" spans="1:18" x14ac:dyDescent="0.2">
      <c r="A188" t="s">
        <v>105</v>
      </c>
      <c r="B188">
        <v>2022</v>
      </c>
      <c r="C188">
        <v>5</v>
      </c>
      <c r="D188" t="s">
        <v>97</v>
      </c>
      <c r="E188" t="s">
        <v>322</v>
      </c>
      <c r="F188" t="s">
        <v>44</v>
      </c>
      <c r="G188">
        <v>40</v>
      </c>
      <c r="H188">
        <v>90</v>
      </c>
      <c r="I188">
        <v>5.7</v>
      </c>
    </row>
    <row r="189" spans="1:18" ht="16" x14ac:dyDescent="0.2">
      <c r="A189" t="s">
        <v>105</v>
      </c>
      <c r="B189">
        <v>2022</v>
      </c>
      <c r="C189">
        <v>4</v>
      </c>
      <c r="D189" t="s">
        <v>97</v>
      </c>
      <c r="E189" s="5" t="s">
        <v>322</v>
      </c>
      <c r="F189" t="s">
        <v>44</v>
      </c>
      <c r="G189">
        <v>40</v>
      </c>
      <c r="H189">
        <v>91</v>
      </c>
      <c r="I189">
        <v>5.7</v>
      </c>
    </row>
    <row r="190" spans="1:18" x14ac:dyDescent="0.2">
      <c r="A190" t="s">
        <v>52</v>
      </c>
      <c r="B190">
        <v>2022</v>
      </c>
      <c r="C190">
        <v>9</v>
      </c>
      <c r="D190" t="s">
        <v>70</v>
      </c>
      <c r="E190" t="s">
        <v>323</v>
      </c>
      <c r="F190" t="s">
        <v>44</v>
      </c>
      <c r="G190">
        <v>90</v>
      </c>
      <c r="H190">
        <v>53</v>
      </c>
      <c r="I190">
        <v>5.8</v>
      </c>
    </row>
    <row r="191" spans="1:18" x14ac:dyDescent="0.2">
      <c r="A191" t="s">
        <v>158</v>
      </c>
      <c r="B191">
        <v>2020</v>
      </c>
      <c r="C191">
        <v>9</v>
      </c>
      <c r="D191" t="s">
        <v>151</v>
      </c>
      <c r="E191" t="s">
        <v>321</v>
      </c>
      <c r="F191" t="s">
        <v>55</v>
      </c>
      <c r="G191">
        <v>180</v>
      </c>
      <c r="H191">
        <v>60</v>
      </c>
      <c r="I191">
        <v>5.8</v>
      </c>
    </row>
    <row r="192" spans="1:18" x14ac:dyDescent="0.2">
      <c r="A192" t="s">
        <v>59</v>
      </c>
      <c r="B192">
        <v>2020</v>
      </c>
      <c r="C192">
        <v>1</v>
      </c>
      <c r="D192" t="s">
        <v>160</v>
      </c>
      <c r="E192" t="s">
        <v>266</v>
      </c>
      <c r="F192" t="s">
        <v>51</v>
      </c>
      <c r="G192">
        <v>22</v>
      </c>
      <c r="H192">
        <v>96</v>
      </c>
      <c r="I192">
        <v>5.8</v>
      </c>
    </row>
    <row r="193" spans="1:18" x14ac:dyDescent="0.2">
      <c r="A193" t="s">
        <v>52</v>
      </c>
      <c r="B193">
        <v>2022</v>
      </c>
      <c r="C193">
        <v>9</v>
      </c>
      <c r="D193" t="s">
        <v>324</v>
      </c>
      <c r="E193" t="s">
        <v>325</v>
      </c>
      <c r="F193" t="s">
        <v>51</v>
      </c>
      <c r="G193">
        <v>22</v>
      </c>
      <c r="H193">
        <v>130</v>
      </c>
      <c r="I193">
        <v>5.8</v>
      </c>
    </row>
    <row r="194" spans="1:18" x14ac:dyDescent="0.2">
      <c r="A194" t="s">
        <v>52</v>
      </c>
      <c r="B194">
        <v>2022</v>
      </c>
      <c r="C194">
        <v>9</v>
      </c>
      <c r="D194" t="s">
        <v>57</v>
      </c>
      <c r="E194" t="s">
        <v>326</v>
      </c>
      <c r="F194" t="s">
        <v>327</v>
      </c>
      <c r="G194">
        <v>22</v>
      </c>
      <c r="H194">
        <v>83</v>
      </c>
      <c r="I194">
        <v>5.9</v>
      </c>
    </row>
    <row r="195" spans="1:18" ht="16" x14ac:dyDescent="0.2">
      <c r="A195" t="s">
        <v>115</v>
      </c>
      <c r="B195">
        <v>2018</v>
      </c>
      <c r="C195">
        <v>11</v>
      </c>
      <c r="D195" s="6" t="s">
        <v>237</v>
      </c>
      <c r="E195" s="5" t="s">
        <v>238</v>
      </c>
      <c r="F195" t="s">
        <v>55</v>
      </c>
      <c r="G195">
        <v>130</v>
      </c>
      <c r="H195">
        <v>140</v>
      </c>
      <c r="I195">
        <v>5.9</v>
      </c>
    </row>
    <row r="196" spans="1:18" x14ac:dyDescent="0.2">
      <c r="A196" t="s">
        <v>56</v>
      </c>
      <c r="B196">
        <v>2020</v>
      </c>
      <c r="C196">
        <v>8</v>
      </c>
      <c r="D196" t="s">
        <v>210</v>
      </c>
      <c r="E196" t="s">
        <v>260</v>
      </c>
      <c r="F196" t="s">
        <v>44</v>
      </c>
      <c r="G196">
        <v>28</v>
      </c>
      <c r="H196">
        <v>50</v>
      </c>
      <c r="I196">
        <v>5.96</v>
      </c>
    </row>
    <row r="197" spans="1:18" x14ac:dyDescent="0.2">
      <c r="A197" t="s">
        <v>172</v>
      </c>
      <c r="B197">
        <v>2022</v>
      </c>
      <c r="C197">
        <v>9</v>
      </c>
      <c r="D197" t="s">
        <v>328</v>
      </c>
      <c r="E197" t="s">
        <v>329</v>
      </c>
      <c r="F197" t="s">
        <v>44</v>
      </c>
      <c r="G197">
        <v>28</v>
      </c>
      <c r="H197">
        <v>2</v>
      </c>
      <c r="I197">
        <v>6</v>
      </c>
    </row>
    <row r="198" spans="1:18" ht="16" x14ac:dyDescent="0.2">
      <c r="A198" t="s">
        <v>195</v>
      </c>
      <c r="B198">
        <v>2022</v>
      </c>
      <c r="C198">
        <v>4</v>
      </c>
      <c r="D198" t="s">
        <v>131</v>
      </c>
      <c r="E198" s="5" t="s">
        <v>208</v>
      </c>
      <c r="F198" t="s">
        <v>44</v>
      </c>
      <c r="G198">
        <v>40</v>
      </c>
      <c r="H198">
        <v>40</v>
      </c>
      <c r="I198">
        <v>6</v>
      </c>
    </row>
    <row r="199" spans="1:18" x14ac:dyDescent="0.2">
      <c r="A199" t="s">
        <v>220</v>
      </c>
      <c r="B199">
        <v>2012</v>
      </c>
      <c r="C199">
        <v>6</v>
      </c>
      <c r="D199" s="8" t="s">
        <v>330</v>
      </c>
      <c r="E199" t="s">
        <v>291</v>
      </c>
      <c r="F199" t="s">
        <v>44</v>
      </c>
      <c r="G199">
        <v>65</v>
      </c>
      <c r="H199">
        <v>96</v>
      </c>
      <c r="I199">
        <v>6</v>
      </c>
    </row>
    <row r="200" spans="1:18" x14ac:dyDescent="0.2">
      <c r="A200" t="s">
        <v>105</v>
      </c>
      <c r="B200">
        <v>2013</v>
      </c>
      <c r="C200">
        <v>5</v>
      </c>
      <c r="D200" t="s">
        <v>331</v>
      </c>
      <c r="E200" t="s">
        <v>332</v>
      </c>
      <c r="F200" t="s">
        <v>55</v>
      </c>
      <c r="G200">
        <v>130</v>
      </c>
      <c r="H200">
        <v>105</v>
      </c>
      <c r="I200">
        <v>6</v>
      </c>
    </row>
    <row r="201" spans="1:18" x14ac:dyDescent="0.2">
      <c r="A201" t="s">
        <v>79</v>
      </c>
      <c r="B201">
        <v>2021</v>
      </c>
      <c r="C201">
        <v>1</v>
      </c>
      <c r="D201" t="s">
        <v>333</v>
      </c>
      <c r="E201" t="s">
        <v>334</v>
      </c>
      <c r="F201" t="s">
        <v>55</v>
      </c>
      <c r="G201">
        <v>130</v>
      </c>
      <c r="H201">
        <v>110</v>
      </c>
      <c r="I201">
        <v>6</v>
      </c>
    </row>
    <row r="202" spans="1:18" ht="16" x14ac:dyDescent="0.2">
      <c r="A202" t="s">
        <v>335</v>
      </c>
      <c r="B202">
        <v>2021</v>
      </c>
      <c r="C202">
        <v>1</v>
      </c>
      <c r="D202" s="8" t="s">
        <v>333</v>
      </c>
      <c r="E202" s="5" t="s">
        <v>334</v>
      </c>
      <c r="F202" t="s">
        <v>102</v>
      </c>
      <c r="G202">
        <v>130</v>
      </c>
      <c r="H202">
        <v>120</v>
      </c>
      <c r="I202">
        <v>6</v>
      </c>
    </row>
    <row r="203" spans="1:18" ht="32" x14ac:dyDescent="0.2">
      <c r="A203" t="s">
        <v>62</v>
      </c>
      <c r="B203">
        <v>2022</v>
      </c>
      <c r="C203">
        <v>2</v>
      </c>
      <c r="D203" t="s">
        <v>187</v>
      </c>
      <c r="E203" s="5" t="s">
        <v>336</v>
      </c>
      <c r="F203" t="s">
        <v>44</v>
      </c>
      <c r="G203">
        <v>28</v>
      </c>
      <c r="H203">
        <v>2.4</v>
      </c>
      <c r="I203">
        <v>6.1</v>
      </c>
    </row>
    <row r="204" spans="1:18" x14ac:dyDescent="0.2">
      <c r="A204" t="s">
        <v>335</v>
      </c>
      <c r="B204">
        <v>2021</v>
      </c>
      <c r="C204">
        <v>1</v>
      </c>
      <c r="D204" t="s">
        <v>337</v>
      </c>
      <c r="E204" t="s">
        <v>338</v>
      </c>
      <c r="F204" t="s">
        <v>55</v>
      </c>
      <c r="G204">
        <v>120</v>
      </c>
      <c r="H204">
        <v>110</v>
      </c>
      <c r="I204">
        <v>6.1</v>
      </c>
    </row>
    <row r="205" spans="1:18" x14ac:dyDescent="0.2">
      <c r="A205" t="s">
        <v>84</v>
      </c>
      <c r="B205">
        <v>2023</v>
      </c>
      <c r="C205">
        <v>2</v>
      </c>
      <c r="D205" t="s">
        <v>339</v>
      </c>
      <c r="E205" t="s">
        <v>340</v>
      </c>
      <c r="F205" t="s">
        <v>55</v>
      </c>
      <c r="G205">
        <v>130</v>
      </c>
      <c r="H205">
        <v>190</v>
      </c>
      <c r="I205">
        <v>6.1</v>
      </c>
    </row>
    <row r="206" spans="1:18" x14ac:dyDescent="0.2">
      <c r="A206" t="s">
        <v>87</v>
      </c>
      <c r="B206">
        <v>2023</v>
      </c>
      <c r="C206">
        <v>5</v>
      </c>
      <c r="D206" t="s">
        <v>151</v>
      </c>
      <c r="E206" t="s">
        <v>341</v>
      </c>
      <c r="F206" t="s">
        <v>44</v>
      </c>
      <c r="G206">
        <v>55</v>
      </c>
      <c r="H206">
        <v>0.3</v>
      </c>
      <c r="I206">
        <v>6.2</v>
      </c>
    </row>
    <row r="207" spans="1:18" x14ac:dyDescent="0.2">
      <c r="A207" t="s">
        <v>45</v>
      </c>
      <c r="B207">
        <v>2020</v>
      </c>
      <c r="C207">
        <v>11</v>
      </c>
      <c r="D207" t="s">
        <v>168</v>
      </c>
      <c r="E207" t="s">
        <v>342</v>
      </c>
      <c r="F207" t="s">
        <v>44</v>
      </c>
      <c r="G207">
        <v>65</v>
      </c>
      <c r="H207">
        <v>10</v>
      </c>
      <c r="I207">
        <v>6.2</v>
      </c>
      <c r="R207" t="s">
        <v>182</v>
      </c>
    </row>
    <row r="208" spans="1:18" ht="16" x14ac:dyDescent="0.2">
      <c r="A208" t="s">
        <v>232</v>
      </c>
      <c r="B208">
        <v>2019</v>
      </c>
      <c r="C208">
        <v>5</v>
      </c>
      <c r="D208" t="s">
        <v>343</v>
      </c>
      <c r="E208" s="5" t="s">
        <v>344</v>
      </c>
      <c r="F208" t="s">
        <v>44</v>
      </c>
      <c r="G208">
        <v>90</v>
      </c>
      <c r="H208">
        <v>99</v>
      </c>
      <c r="I208">
        <v>6.2</v>
      </c>
    </row>
    <row r="209" spans="1:18" x14ac:dyDescent="0.2">
      <c r="A209" t="s">
        <v>335</v>
      </c>
      <c r="B209">
        <v>2015</v>
      </c>
      <c r="C209">
        <v>12</v>
      </c>
      <c r="D209" t="s">
        <v>337</v>
      </c>
      <c r="E209" t="s">
        <v>345</v>
      </c>
      <c r="F209" t="s">
        <v>55</v>
      </c>
      <c r="G209">
        <v>90</v>
      </c>
      <c r="H209">
        <v>140</v>
      </c>
      <c r="I209">
        <v>6.2</v>
      </c>
    </row>
    <row r="210" spans="1:18" x14ac:dyDescent="0.2">
      <c r="A210" t="s">
        <v>56</v>
      </c>
      <c r="B210">
        <v>2022</v>
      </c>
      <c r="C210">
        <v>6</v>
      </c>
      <c r="D210" t="s">
        <v>346</v>
      </c>
      <c r="E210" t="s">
        <v>347</v>
      </c>
      <c r="F210" t="s">
        <v>44</v>
      </c>
      <c r="G210">
        <v>65</v>
      </c>
      <c r="H210">
        <v>94</v>
      </c>
      <c r="I210">
        <v>6.25</v>
      </c>
    </row>
    <row r="211" spans="1:18" ht="16" x14ac:dyDescent="0.2">
      <c r="A211" t="s">
        <v>105</v>
      </c>
      <c r="B211">
        <v>2019</v>
      </c>
      <c r="C211">
        <v>6</v>
      </c>
      <c r="D211" t="s">
        <v>348</v>
      </c>
      <c r="E211" s="5" t="s">
        <v>349</v>
      </c>
      <c r="F211" t="s">
        <v>44</v>
      </c>
      <c r="G211">
        <v>65</v>
      </c>
      <c r="H211">
        <v>88</v>
      </c>
      <c r="I211">
        <v>6.3</v>
      </c>
    </row>
    <row r="212" spans="1:18" x14ac:dyDescent="0.2">
      <c r="A212" t="s">
        <v>62</v>
      </c>
      <c r="B212">
        <v>2016</v>
      </c>
      <c r="C212">
        <v>2</v>
      </c>
      <c r="D212" t="s">
        <v>350</v>
      </c>
      <c r="E212" t="s">
        <v>351</v>
      </c>
      <c r="F212" t="s">
        <v>44</v>
      </c>
      <c r="G212">
        <v>28</v>
      </c>
      <c r="H212">
        <v>89.5</v>
      </c>
      <c r="I212">
        <v>6.4</v>
      </c>
    </row>
    <row r="213" spans="1:18" x14ac:dyDescent="0.2">
      <c r="A213" t="s">
        <v>48</v>
      </c>
      <c r="B213">
        <v>2020</v>
      </c>
      <c r="C213">
        <v>6</v>
      </c>
      <c r="D213" t="s">
        <v>57</v>
      </c>
      <c r="E213" t="s">
        <v>352</v>
      </c>
      <c r="F213" t="s">
        <v>51</v>
      </c>
      <c r="G213">
        <v>45</v>
      </c>
      <c r="H213">
        <v>144</v>
      </c>
      <c r="I213">
        <v>6.4</v>
      </c>
    </row>
    <row r="214" spans="1:18" x14ac:dyDescent="0.2">
      <c r="A214" t="s">
        <v>45</v>
      </c>
      <c r="B214">
        <v>2022</v>
      </c>
      <c r="C214">
        <v>2</v>
      </c>
      <c r="D214" t="s">
        <v>57</v>
      </c>
      <c r="E214" t="s">
        <v>353</v>
      </c>
      <c r="F214" t="s">
        <v>51</v>
      </c>
      <c r="G214">
        <v>45</v>
      </c>
      <c r="H214">
        <v>144</v>
      </c>
      <c r="I214">
        <v>6.4</v>
      </c>
      <c r="R214" t="s">
        <v>182</v>
      </c>
    </row>
    <row r="215" spans="1:18" ht="16" x14ac:dyDescent="0.2">
      <c r="A215" t="s">
        <v>232</v>
      </c>
      <c r="B215">
        <v>2019</v>
      </c>
      <c r="C215">
        <v>5</v>
      </c>
      <c r="D215" t="s">
        <v>343</v>
      </c>
      <c r="E215" s="5" t="s">
        <v>344</v>
      </c>
      <c r="F215" t="s">
        <v>44</v>
      </c>
      <c r="G215">
        <v>90</v>
      </c>
      <c r="H215">
        <v>97</v>
      </c>
      <c r="I215">
        <v>6.5</v>
      </c>
    </row>
    <row r="216" spans="1:18" ht="16" x14ac:dyDescent="0.2">
      <c r="A216" t="s">
        <v>59</v>
      </c>
      <c r="B216">
        <v>2018</v>
      </c>
      <c r="C216">
        <v>3</v>
      </c>
      <c r="D216" t="s">
        <v>354</v>
      </c>
      <c r="E216" s="5" t="s">
        <v>355</v>
      </c>
      <c r="F216" t="s">
        <v>51</v>
      </c>
      <c r="G216">
        <v>28</v>
      </c>
      <c r="H216">
        <v>147</v>
      </c>
      <c r="I216">
        <v>6.5</v>
      </c>
    </row>
    <row r="217" spans="1:18" x14ac:dyDescent="0.2">
      <c r="A217" t="s">
        <v>45</v>
      </c>
      <c r="B217">
        <v>2010</v>
      </c>
      <c r="C217">
        <v>10</v>
      </c>
      <c r="D217" t="s">
        <v>356</v>
      </c>
      <c r="E217" t="s">
        <v>357</v>
      </c>
      <c r="F217" t="s">
        <v>44</v>
      </c>
      <c r="G217">
        <v>65</v>
      </c>
      <c r="H217">
        <v>88</v>
      </c>
      <c r="I217">
        <v>6.8</v>
      </c>
    </row>
    <row r="218" spans="1:18" ht="16" x14ac:dyDescent="0.2">
      <c r="A218" t="s">
        <v>45</v>
      </c>
      <c r="B218">
        <v>2021</v>
      </c>
      <c r="C218">
        <v>5</v>
      </c>
      <c r="D218" t="s">
        <v>358</v>
      </c>
      <c r="E218" s="5" t="s">
        <v>359</v>
      </c>
      <c r="F218" t="s">
        <v>44</v>
      </c>
      <c r="G218">
        <v>40</v>
      </c>
      <c r="H218">
        <v>76</v>
      </c>
      <c r="I218">
        <v>6.9</v>
      </c>
    </row>
    <row r="219" spans="1:18" x14ac:dyDescent="0.2">
      <c r="A219" t="s">
        <v>45</v>
      </c>
      <c r="B219">
        <v>2021</v>
      </c>
      <c r="C219">
        <v>5</v>
      </c>
      <c r="D219" t="s">
        <v>360</v>
      </c>
      <c r="E219" t="s">
        <v>361</v>
      </c>
      <c r="F219" t="s">
        <v>44</v>
      </c>
      <c r="G219">
        <v>40</v>
      </c>
      <c r="H219">
        <v>28</v>
      </c>
      <c r="I219">
        <v>7</v>
      </c>
      <c r="R219" t="s">
        <v>362</v>
      </c>
    </row>
    <row r="220" spans="1:18" ht="16" x14ac:dyDescent="0.2">
      <c r="A220" t="s">
        <v>45</v>
      </c>
      <c r="B220">
        <v>2020</v>
      </c>
      <c r="C220">
        <v>5</v>
      </c>
      <c r="D220" t="s">
        <v>77</v>
      </c>
      <c r="E220" s="5" t="s">
        <v>363</v>
      </c>
      <c r="F220" t="s">
        <v>44</v>
      </c>
      <c r="G220">
        <v>65</v>
      </c>
      <c r="H220">
        <v>39</v>
      </c>
      <c r="I220">
        <v>7</v>
      </c>
    </row>
    <row r="221" spans="1:18" x14ac:dyDescent="0.2">
      <c r="A221" t="s">
        <v>56</v>
      </c>
      <c r="B221">
        <v>2020</v>
      </c>
      <c r="C221">
        <v>8</v>
      </c>
      <c r="D221" t="s">
        <v>125</v>
      </c>
      <c r="E221" t="s">
        <v>276</v>
      </c>
      <c r="F221" t="s">
        <v>55</v>
      </c>
      <c r="G221">
        <v>90</v>
      </c>
      <c r="H221">
        <v>40</v>
      </c>
      <c r="I221">
        <v>7</v>
      </c>
    </row>
    <row r="222" spans="1:18" ht="16" x14ac:dyDescent="0.2">
      <c r="A222" t="s">
        <v>105</v>
      </c>
      <c r="B222">
        <v>2022</v>
      </c>
      <c r="C222">
        <v>4</v>
      </c>
      <c r="D222" t="s">
        <v>97</v>
      </c>
      <c r="E222" s="5" t="s">
        <v>322</v>
      </c>
      <c r="F222" t="s">
        <v>44</v>
      </c>
      <c r="G222">
        <v>40</v>
      </c>
      <c r="H222">
        <v>80</v>
      </c>
      <c r="I222">
        <v>7</v>
      </c>
    </row>
    <row r="223" spans="1:18" x14ac:dyDescent="0.2">
      <c r="A223" t="s">
        <v>45</v>
      </c>
      <c r="B223">
        <v>2011</v>
      </c>
      <c r="C223">
        <v>2</v>
      </c>
      <c r="D223" t="s">
        <v>72</v>
      </c>
      <c r="E223" t="s">
        <v>364</v>
      </c>
      <c r="F223" t="s">
        <v>44</v>
      </c>
      <c r="G223">
        <v>65</v>
      </c>
      <c r="H223">
        <v>90</v>
      </c>
      <c r="I223">
        <v>7</v>
      </c>
    </row>
    <row r="224" spans="1:18" x14ac:dyDescent="0.2">
      <c r="A224" t="s">
        <v>45</v>
      </c>
      <c r="B224">
        <v>2021</v>
      </c>
      <c r="C224">
        <v>10</v>
      </c>
      <c r="D224" t="s">
        <v>365</v>
      </c>
      <c r="E224" t="s">
        <v>366</v>
      </c>
      <c r="F224" t="s">
        <v>51</v>
      </c>
      <c r="G224">
        <v>45</v>
      </c>
      <c r="H224">
        <v>0.996</v>
      </c>
      <c r="I224">
        <v>7.1</v>
      </c>
      <c r="R224" t="s">
        <v>67</v>
      </c>
    </row>
    <row r="225" spans="1:18" x14ac:dyDescent="0.2">
      <c r="A225" t="s">
        <v>45</v>
      </c>
      <c r="B225">
        <v>2020</v>
      </c>
      <c r="C225">
        <v>8</v>
      </c>
      <c r="D225" t="s">
        <v>131</v>
      </c>
      <c r="E225" t="s">
        <v>219</v>
      </c>
      <c r="F225" t="s">
        <v>44</v>
      </c>
      <c r="G225">
        <v>65</v>
      </c>
      <c r="H225">
        <v>61</v>
      </c>
      <c r="I225">
        <v>7.1</v>
      </c>
      <c r="R225" t="s">
        <v>182</v>
      </c>
    </row>
    <row r="226" spans="1:18" ht="16" x14ac:dyDescent="0.2">
      <c r="A226" t="s">
        <v>105</v>
      </c>
      <c r="B226">
        <v>2016</v>
      </c>
      <c r="C226">
        <v>2</v>
      </c>
      <c r="D226" t="s">
        <v>367</v>
      </c>
      <c r="E226" s="5" t="s">
        <v>368</v>
      </c>
      <c r="F226" t="s">
        <v>44</v>
      </c>
      <c r="G226">
        <v>65</v>
      </c>
      <c r="H226">
        <v>104</v>
      </c>
      <c r="I226">
        <v>7.2</v>
      </c>
    </row>
    <row r="227" spans="1:18" ht="16" x14ac:dyDescent="0.2">
      <c r="A227" t="s">
        <v>105</v>
      </c>
      <c r="B227">
        <v>2016</v>
      </c>
      <c r="C227">
        <v>2</v>
      </c>
      <c r="D227" t="s">
        <v>367</v>
      </c>
      <c r="E227" s="5" t="s">
        <v>368</v>
      </c>
      <c r="F227" t="s">
        <v>44</v>
      </c>
      <c r="G227">
        <v>65</v>
      </c>
      <c r="H227">
        <v>104</v>
      </c>
      <c r="I227">
        <v>7.2</v>
      </c>
    </row>
    <row r="228" spans="1:18" ht="16" x14ac:dyDescent="0.2">
      <c r="A228" t="s">
        <v>232</v>
      </c>
      <c r="B228">
        <v>2021</v>
      </c>
      <c r="C228">
        <v>5</v>
      </c>
      <c r="D228" s="8" t="s">
        <v>369</v>
      </c>
      <c r="E228" s="5" t="s">
        <v>370</v>
      </c>
      <c r="F228" t="s">
        <v>55</v>
      </c>
      <c r="G228">
        <v>130</v>
      </c>
      <c r="H228">
        <v>120</v>
      </c>
      <c r="I228">
        <v>7.2</v>
      </c>
      <c r="R228" t="s">
        <v>91</v>
      </c>
    </row>
    <row r="229" spans="1:18" x14ac:dyDescent="0.2">
      <c r="A229" t="s">
        <v>84</v>
      </c>
      <c r="B229">
        <v>2023</v>
      </c>
      <c r="C229" t="s">
        <v>76</v>
      </c>
      <c r="D229" t="s">
        <v>371</v>
      </c>
      <c r="E229" t="s">
        <v>372</v>
      </c>
      <c r="F229" t="s">
        <v>55</v>
      </c>
      <c r="G229">
        <v>90</v>
      </c>
      <c r="H229">
        <v>139.80000000000001</v>
      </c>
      <c r="I229">
        <v>7.2</v>
      </c>
    </row>
    <row r="230" spans="1:18" x14ac:dyDescent="0.2">
      <c r="A230" t="s">
        <v>84</v>
      </c>
      <c r="B230">
        <v>2023</v>
      </c>
      <c r="C230" t="s">
        <v>76</v>
      </c>
      <c r="D230" t="s">
        <v>373</v>
      </c>
      <c r="E230" t="s">
        <v>374</v>
      </c>
      <c r="F230" t="s">
        <v>44</v>
      </c>
      <c r="G230">
        <v>180</v>
      </c>
      <c r="H230">
        <v>24.8</v>
      </c>
      <c r="I230">
        <v>7.3</v>
      </c>
    </row>
    <row r="231" spans="1:18" x14ac:dyDescent="0.2">
      <c r="A231" t="s">
        <v>105</v>
      </c>
      <c r="B231">
        <v>2023</v>
      </c>
      <c r="C231" t="s">
        <v>76</v>
      </c>
      <c r="D231" t="s">
        <v>166</v>
      </c>
      <c r="E231" t="s">
        <v>375</v>
      </c>
      <c r="F231" t="s">
        <v>44</v>
      </c>
      <c r="G231">
        <v>65</v>
      </c>
      <c r="H231">
        <v>28</v>
      </c>
      <c r="I231">
        <v>7.3</v>
      </c>
    </row>
    <row r="232" spans="1:18" x14ac:dyDescent="0.2">
      <c r="A232" t="s">
        <v>62</v>
      </c>
      <c r="B232">
        <v>2009</v>
      </c>
      <c r="C232">
        <v>2</v>
      </c>
      <c r="D232" t="s">
        <v>376</v>
      </c>
      <c r="E232" t="s">
        <v>377</v>
      </c>
      <c r="F232" t="s">
        <v>44</v>
      </c>
      <c r="G232">
        <v>65</v>
      </c>
      <c r="H232">
        <v>100</v>
      </c>
      <c r="I232">
        <v>7.5</v>
      </c>
    </row>
    <row r="233" spans="1:18" x14ac:dyDescent="0.2">
      <c r="A233" t="s">
        <v>56</v>
      </c>
      <c r="B233">
        <v>2022</v>
      </c>
      <c r="C233">
        <v>6</v>
      </c>
      <c r="D233" t="s">
        <v>378</v>
      </c>
      <c r="E233" t="s">
        <v>379</v>
      </c>
      <c r="F233" t="s">
        <v>51</v>
      </c>
      <c r="G233">
        <v>22</v>
      </c>
      <c r="H233">
        <v>153</v>
      </c>
      <c r="I233">
        <v>7.5</v>
      </c>
    </row>
    <row r="234" spans="1:18" x14ac:dyDescent="0.2">
      <c r="A234" t="s">
        <v>59</v>
      </c>
      <c r="B234">
        <v>2021</v>
      </c>
      <c r="C234">
        <v>7</v>
      </c>
      <c r="D234" t="s">
        <v>77</v>
      </c>
      <c r="E234" t="s">
        <v>380</v>
      </c>
      <c r="F234" t="s">
        <v>55</v>
      </c>
      <c r="G234">
        <v>130</v>
      </c>
      <c r="H234">
        <v>31</v>
      </c>
      <c r="I234">
        <v>7.6</v>
      </c>
      <c r="R234" t="s">
        <v>182</v>
      </c>
    </row>
    <row r="235" spans="1:18" x14ac:dyDescent="0.2">
      <c r="A235" t="s">
        <v>59</v>
      </c>
      <c r="B235">
        <v>2019</v>
      </c>
      <c r="C235">
        <v>2</v>
      </c>
      <c r="D235" t="s">
        <v>57</v>
      </c>
      <c r="E235" t="s">
        <v>381</v>
      </c>
      <c r="F235" t="s">
        <v>44</v>
      </c>
      <c r="G235">
        <v>90</v>
      </c>
      <c r="H235">
        <v>90</v>
      </c>
      <c r="I235">
        <v>7.8</v>
      </c>
    </row>
    <row r="236" spans="1:18" ht="32" x14ac:dyDescent="0.2">
      <c r="A236" t="s">
        <v>62</v>
      </c>
      <c r="B236">
        <v>2022</v>
      </c>
      <c r="C236">
        <v>2</v>
      </c>
      <c r="D236" t="s">
        <v>301</v>
      </c>
      <c r="E236" s="5" t="s">
        <v>302</v>
      </c>
      <c r="F236" t="s">
        <v>51</v>
      </c>
      <c r="G236">
        <v>45</v>
      </c>
      <c r="H236">
        <v>39</v>
      </c>
      <c r="I236">
        <v>7.9</v>
      </c>
    </row>
    <row r="237" spans="1:18" x14ac:dyDescent="0.2">
      <c r="A237" t="s">
        <v>79</v>
      </c>
      <c r="B237">
        <v>2021</v>
      </c>
      <c r="C237">
        <v>1</v>
      </c>
      <c r="D237" t="s">
        <v>333</v>
      </c>
      <c r="E237" t="s">
        <v>334</v>
      </c>
      <c r="F237" t="s">
        <v>55</v>
      </c>
      <c r="G237">
        <v>130</v>
      </c>
      <c r="H237">
        <v>170</v>
      </c>
      <c r="I237">
        <v>7.9</v>
      </c>
    </row>
    <row r="238" spans="1:18" x14ac:dyDescent="0.2">
      <c r="A238" t="s">
        <v>105</v>
      </c>
      <c r="B238">
        <v>2008</v>
      </c>
      <c r="C238">
        <v>2</v>
      </c>
      <c r="D238" t="s">
        <v>97</v>
      </c>
      <c r="E238" t="s">
        <v>382</v>
      </c>
      <c r="F238" t="s">
        <v>44</v>
      </c>
      <c r="G238">
        <v>65</v>
      </c>
      <c r="H238">
        <v>80</v>
      </c>
      <c r="I238">
        <v>8</v>
      </c>
    </row>
    <row r="239" spans="1:18" ht="16" x14ac:dyDescent="0.2">
      <c r="A239" t="s">
        <v>59</v>
      </c>
      <c r="B239">
        <v>2010</v>
      </c>
      <c r="C239">
        <v>5</v>
      </c>
      <c r="D239" t="s">
        <v>383</v>
      </c>
      <c r="E239" s="5" t="s">
        <v>384</v>
      </c>
      <c r="F239" t="s">
        <v>55</v>
      </c>
      <c r="G239">
        <v>120</v>
      </c>
      <c r="H239">
        <v>82</v>
      </c>
      <c r="I239">
        <v>8</v>
      </c>
      <c r="R239" t="s">
        <v>91</v>
      </c>
    </row>
    <row r="240" spans="1:18" x14ac:dyDescent="0.2">
      <c r="A240" t="s">
        <v>59</v>
      </c>
      <c r="B240">
        <v>2016</v>
      </c>
      <c r="C240">
        <v>5</v>
      </c>
      <c r="D240" t="s">
        <v>385</v>
      </c>
      <c r="E240" t="s">
        <v>386</v>
      </c>
      <c r="F240" t="s">
        <v>44</v>
      </c>
      <c r="G240">
        <v>28</v>
      </c>
      <c r="H240">
        <v>115</v>
      </c>
      <c r="I240">
        <v>8.4</v>
      </c>
    </row>
    <row r="241" spans="1:18" x14ac:dyDescent="0.2">
      <c r="A241" t="s">
        <v>59</v>
      </c>
      <c r="B241">
        <v>2016</v>
      </c>
      <c r="C241">
        <v>5</v>
      </c>
      <c r="D241" t="s">
        <v>387</v>
      </c>
      <c r="E241" t="s">
        <v>386</v>
      </c>
      <c r="F241" t="s">
        <v>44</v>
      </c>
      <c r="G241">
        <v>28</v>
      </c>
      <c r="H241">
        <v>115</v>
      </c>
      <c r="I241">
        <v>8.4</v>
      </c>
    </row>
    <row r="242" spans="1:18" x14ac:dyDescent="0.2">
      <c r="A242" t="s">
        <v>388</v>
      </c>
      <c r="B242">
        <v>2021</v>
      </c>
      <c r="C242">
        <v>11</v>
      </c>
      <c r="D242" t="s">
        <v>389</v>
      </c>
      <c r="E242" t="s">
        <v>390</v>
      </c>
      <c r="F242" t="s">
        <v>55</v>
      </c>
      <c r="G242">
        <v>130</v>
      </c>
      <c r="H242">
        <v>187.5</v>
      </c>
      <c r="I242">
        <v>8.4</v>
      </c>
      <c r="R242" t="s">
        <v>91</v>
      </c>
    </row>
    <row r="243" spans="1:18" ht="16" x14ac:dyDescent="0.2">
      <c r="A243" t="s">
        <v>48</v>
      </c>
      <c r="B243">
        <v>2019</v>
      </c>
      <c r="C243">
        <v>6</v>
      </c>
      <c r="D243" t="s">
        <v>391</v>
      </c>
      <c r="E243" s="5" t="s">
        <v>392</v>
      </c>
      <c r="F243" t="s">
        <v>51</v>
      </c>
      <c r="G243">
        <v>22</v>
      </c>
      <c r="H243">
        <v>135</v>
      </c>
      <c r="I243">
        <v>8.5</v>
      </c>
      <c r="R243" t="s">
        <v>91</v>
      </c>
    </row>
    <row r="244" spans="1:18" ht="16" x14ac:dyDescent="0.2">
      <c r="A244" t="s">
        <v>45</v>
      </c>
      <c r="B244">
        <v>2021</v>
      </c>
      <c r="C244">
        <v>3</v>
      </c>
      <c r="D244" t="s">
        <v>393</v>
      </c>
      <c r="E244" s="5" t="s">
        <v>394</v>
      </c>
      <c r="F244" t="s">
        <v>55</v>
      </c>
      <c r="G244">
        <v>130</v>
      </c>
      <c r="H244">
        <v>150</v>
      </c>
      <c r="I244">
        <v>8.5</v>
      </c>
      <c r="R244" t="s">
        <v>91</v>
      </c>
    </row>
    <row r="245" spans="1:18" x14ac:dyDescent="0.2">
      <c r="A245" t="s">
        <v>292</v>
      </c>
      <c r="B245">
        <v>2021</v>
      </c>
      <c r="C245">
        <v>1</v>
      </c>
      <c r="D245" t="s">
        <v>293</v>
      </c>
      <c r="E245" t="s">
        <v>294</v>
      </c>
      <c r="F245" t="s">
        <v>55</v>
      </c>
      <c r="G245">
        <v>130</v>
      </c>
      <c r="H245">
        <v>120</v>
      </c>
      <c r="I245">
        <v>9</v>
      </c>
    </row>
    <row r="246" spans="1:18" x14ac:dyDescent="0.2">
      <c r="A246" t="s">
        <v>48</v>
      </c>
      <c r="B246">
        <v>2021</v>
      </c>
      <c r="C246">
        <v>6</v>
      </c>
      <c r="D246" t="s">
        <v>77</v>
      </c>
      <c r="E246" t="s">
        <v>395</v>
      </c>
      <c r="F246" t="s">
        <v>51</v>
      </c>
      <c r="G246">
        <v>22</v>
      </c>
      <c r="H246">
        <v>140</v>
      </c>
      <c r="I246">
        <v>9</v>
      </c>
    </row>
    <row r="247" spans="1:18" x14ac:dyDescent="0.2">
      <c r="A247" t="s">
        <v>45</v>
      </c>
      <c r="B247">
        <v>2023</v>
      </c>
      <c r="C247" t="s">
        <v>76</v>
      </c>
      <c r="D247" t="s">
        <v>57</v>
      </c>
      <c r="E247" t="s">
        <v>396</v>
      </c>
      <c r="F247" t="s">
        <v>55</v>
      </c>
      <c r="G247">
        <v>130</v>
      </c>
      <c r="H247">
        <v>217</v>
      </c>
      <c r="I247">
        <v>9</v>
      </c>
    </row>
    <row r="248" spans="1:18" x14ac:dyDescent="0.2">
      <c r="A248" t="s">
        <v>48</v>
      </c>
      <c r="B248">
        <v>2021</v>
      </c>
      <c r="C248">
        <v>6</v>
      </c>
      <c r="D248" t="s">
        <v>168</v>
      </c>
      <c r="E248" t="s">
        <v>397</v>
      </c>
      <c r="F248" t="s">
        <v>51</v>
      </c>
      <c r="G248">
        <v>22</v>
      </c>
      <c r="H248">
        <v>140</v>
      </c>
      <c r="I248">
        <v>9.1999999999999993</v>
      </c>
    </row>
    <row r="249" spans="1:18" x14ac:dyDescent="0.2">
      <c r="A249" t="s">
        <v>398</v>
      </c>
      <c r="B249">
        <v>2022</v>
      </c>
      <c r="C249">
        <v>1</v>
      </c>
      <c r="D249" t="s">
        <v>168</v>
      </c>
      <c r="E249" t="s">
        <v>399</v>
      </c>
      <c r="F249" t="s">
        <v>51</v>
      </c>
      <c r="G249">
        <v>22</v>
      </c>
      <c r="H249">
        <v>140</v>
      </c>
      <c r="I249">
        <v>9.1999999999999993</v>
      </c>
    </row>
    <row r="250" spans="1:18" x14ac:dyDescent="0.2">
      <c r="A250" t="s">
        <v>48</v>
      </c>
      <c r="B250">
        <v>2022</v>
      </c>
      <c r="C250">
        <v>6</v>
      </c>
      <c r="D250" t="s">
        <v>400</v>
      </c>
      <c r="E250" t="s">
        <v>401</v>
      </c>
      <c r="F250" t="s">
        <v>51</v>
      </c>
      <c r="G250">
        <v>45</v>
      </c>
      <c r="H250">
        <v>140</v>
      </c>
      <c r="I250">
        <v>10</v>
      </c>
    </row>
    <row r="251" spans="1:18" x14ac:dyDescent="0.2">
      <c r="A251" t="s">
        <v>158</v>
      </c>
      <c r="B251">
        <v>2020</v>
      </c>
      <c r="C251">
        <v>12</v>
      </c>
      <c r="D251" t="s">
        <v>348</v>
      </c>
      <c r="E251" t="s">
        <v>402</v>
      </c>
      <c r="F251" t="s">
        <v>44</v>
      </c>
      <c r="G251">
        <v>65</v>
      </c>
      <c r="H251">
        <v>78</v>
      </c>
      <c r="I251">
        <v>11</v>
      </c>
    </row>
    <row r="252" spans="1:18" x14ac:dyDescent="0.2">
      <c r="A252" t="s">
        <v>292</v>
      </c>
      <c r="B252">
        <v>2021</v>
      </c>
      <c r="C252">
        <v>1</v>
      </c>
      <c r="D252" t="s">
        <v>293</v>
      </c>
      <c r="E252" t="s">
        <v>294</v>
      </c>
      <c r="F252" t="s">
        <v>55</v>
      </c>
      <c r="G252">
        <v>130</v>
      </c>
      <c r="H252">
        <v>110</v>
      </c>
      <c r="I252">
        <v>11</v>
      </c>
    </row>
    <row r="253" spans="1:18" x14ac:dyDescent="0.2">
      <c r="A253" t="s">
        <v>48</v>
      </c>
      <c r="B253">
        <v>2022</v>
      </c>
      <c r="C253">
        <v>6</v>
      </c>
      <c r="D253" t="s">
        <v>63</v>
      </c>
      <c r="E253" t="s">
        <v>403</v>
      </c>
      <c r="F253" t="s">
        <v>44</v>
      </c>
      <c r="G253">
        <v>28</v>
      </c>
      <c r="H253">
        <v>34</v>
      </c>
      <c r="I253">
        <v>12</v>
      </c>
      <c r="R253" t="s">
        <v>67</v>
      </c>
    </row>
    <row r="254" spans="1:18" x14ac:dyDescent="0.2">
      <c r="A254" t="s">
        <v>404</v>
      </c>
      <c r="B254">
        <v>2021</v>
      </c>
      <c r="C254">
        <v>3</v>
      </c>
      <c r="D254" t="s">
        <v>405</v>
      </c>
      <c r="E254" t="s">
        <v>406</v>
      </c>
      <c r="F254" t="s">
        <v>44</v>
      </c>
      <c r="G254">
        <v>28</v>
      </c>
      <c r="H254">
        <v>60.5</v>
      </c>
      <c r="I254">
        <v>12</v>
      </c>
      <c r="R254" t="s">
        <v>182</v>
      </c>
    </row>
    <row r="255" spans="1:18" x14ac:dyDescent="0.2">
      <c r="A255" t="s">
        <v>59</v>
      </c>
      <c r="B255">
        <v>2021</v>
      </c>
      <c r="C255">
        <v>6</v>
      </c>
      <c r="D255" t="s">
        <v>407</v>
      </c>
      <c r="E255" t="s">
        <v>408</v>
      </c>
      <c r="F255" t="s">
        <v>44</v>
      </c>
      <c r="G255">
        <v>55</v>
      </c>
      <c r="H255">
        <v>72</v>
      </c>
      <c r="I255">
        <v>13</v>
      </c>
    </row>
    <row r="256" spans="1:18" x14ac:dyDescent="0.2">
      <c r="A256" t="s">
        <v>105</v>
      </c>
      <c r="B256">
        <v>2022</v>
      </c>
      <c r="C256">
        <v>2</v>
      </c>
      <c r="D256" t="s">
        <v>409</v>
      </c>
      <c r="E256" t="s">
        <v>410</v>
      </c>
      <c r="F256" t="s">
        <v>55</v>
      </c>
      <c r="G256">
        <v>130</v>
      </c>
      <c r="H256">
        <v>240</v>
      </c>
      <c r="I256">
        <v>13.2</v>
      </c>
    </row>
    <row r="257" spans="1:18" ht="16" x14ac:dyDescent="0.2">
      <c r="A257" t="s">
        <v>105</v>
      </c>
      <c r="B257">
        <v>2022</v>
      </c>
      <c r="C257">
        <v>2</v>
      </c>
      <c r="D257" t="s">
        <v>409</v>
      </c>
      <c r="E257" s="5" t="s">
        <v>411</v>
      </c>
      <c r="F257" t="s">
        <v>55</v>
      </c>
      <c r="G257">
        <v>130</v>
      </c>
      <c r="H257">
        <v>240</v>
      </c>
      <c r="I257">
        <v>13.2</v>
      </c>
    </row>
    <row r="258" spans="1:18" ht="16" x14ac:dyDescent="0.2">
      <c r="A258" t="s">
        <v>105</v>
      </c>
      <c r="B258">
        <v>2022</v>
      </c>
      <c r="C258">
        <v>2</v>
      </c>
      <c r="D258" t="s">
        <v>409</v>
      </c>
      <c r="E258" s="5" t="s">
        <v>411</v>
      </c>
      <c r="F258" t="s">
        <v>55</v>
      </c>
      <c r="G258">
        <v>130</v>
      </c>
      <c r="H258">
        <v>260</v>
      </c>
      <c r="I258">
        <v>13.5</v>
      </c>
    </row>
    <row r="259" spans="1:18" x14ac:dyDescent="0.2">
      <c r="A259" t="s">
        <v>45</v>
      </c>
      <c r="B259">
        <v>2021</v>
      </c>
      <c r="C259">
        <v>6</v>
      </c>
      <c r="D259" t="s">
        <v>412</v>
      </c>
      <c r="E259" t="s">
        <v>413</v>
      </c>
      <c r="F259" t="s">
        <v>55</v>
      </c>
      <c r="G259">
        <v>130</v>
      </c>
      <c r="H259">
        <v>9</v>
      </c>
      <c r="I259">
        <v>13.6</v>
      </c>
    </row>
    <row r="260" spans="1:18" x14ac:dyDescent="0.2">
      <c r="A260" t="s">
        <v>105</v>
      </c>
      <c r="B260">
        <v>2022</v>
      </c>
      <c r="C260">
        <v>1</v>
      </c>
      <c r="D260" t="s">
        <v>177</v>
      </c>
      <c r="E260" t="s">
        <v>414</v>
      </c>
      <c r="F260" t="s">
        <v>44</v>
      </c>
      <c r="G260">
        <v>65</v>
      </c>
      <c r="H260">
        <v>106</v>
      </c>
      <c r="I260">
        <v>14</v>
      </c>
    </row>
    <row r="261" spans="1:18" x14ac:dyDescent="0.2">
      <c r="A261" t="s">
        <v>56</v>
      </c>
      <c r="B261">
        <v>2022</v>
      </c>
      <c r="C261">
        <v>6</v>
      </c>
      <c r="D261" t="s">
        <v>246</v>
      </c>
      <c r="E261" t="s">
        <v>415</v>
      </c>
      <c r="F261" t="s">
        <v>44</v>
      </c>
      <c r="G261">
        <v>40</v>
      </c>
      <c r="H261">
        <v>180</v>
      </c>
      <c r="I261">
        <v>15.1</v>
      </c>
    </row>
    <row r="262" spans="1:18" x14ac:dyDescent="0.2">
      <c r="A262" t="s">
        <v>52</v>
      </c>
      <c r="B262">
        <v>2023</v>
      </c>
      <c r="C262">
        <v>9</v>
      </c>
      <c r="D262" t="s">
        <v>416</v>
      </c>
      <c r="E262" t="s">
        <v>417</v>
      </c>
      <c r="F262" t="s">
        <v>418</v>
      </c>
      <c r="G262">
        <v>16</v>
      </c>
      <c r="H262">
        <v>82</v>
      </c>
      <c r="I262">
        <v>17</v>
      </c>
    </row>
    <row r="263" spans="1:18" x14ac:dyDescent="0.2">
      <c r="A263" t="s">
        <v>48</v>
      </c>
      <c r="B263">
        <v>2022</v>
      </c>
      <c r="C263">
        <v>6</v>
      </c>
      <c r="D263" t="s">
        <v>419</v>
      </c>
      <c r="E263" t="s">
        <v>420</v>
      </c>
      <c r="F263" t="s">
        <v>44</v>
      </c>
      <c r="G263">
        <v>40</v>
      </c>
      <c r="H263">
        <v>31</v>
      </c>
      <c r="I263">
        <v>28.9</v>
      </c>
      <c r="R263" t="s">
        <v>67</v>
      </c>
    </row>
    <row r="264" spans="1:18" x14ac:dyDescent="0.2">
      <c r="A264" t="s">
        <v>84</v>
      </c>
      <c r="B264">
        <v>2025</v>
      </c>
      <c r="C264">
        <v>5</v>
      </c>
      <c r="D264" t="s">
        <v>57</v>
      </c>
      <c r="E264" t="s">
        <v>421</v>
      </c>
      <c r="F264" t="s">
        <v>44</v>
      </c>
      <c r="G264">
        <v>28</v>
      </c>
      <c r="H264">
        <v>8.4</v>
      </c>
      <c r="I264">
        <v>0.5</v>
      </c>
      <c r="J264">
        <v>8.4</v>
      </c>
      <c r="K264">
        <v>0.5</v>
      </c>
      <c r="L264">
        <v>26.7</v>
      </c>
      <c r="M264">
        <v>-47.2</v>
      </c>
      <c r="N264" t="s">
        <v>422</v>
      </c>
      <c r="O264">
        <v>-38</v>
      </c>
      <c r="P264">
        <v>2.2000000000000002</v>
      </c>
      <c r="Q264">
        <v>4.05</v>
      </c>
    </row>
    <row r="265" spans="1:18" x14ac:dyDescent="0.2">
      <c r="A265" t="s">
        <v>84</v>
      </c>
      <c r="B265">
        <v>2025</v>
      </c>
      <c r="C265">
        <v>5</v>
      </c>
      <c r="D265" t="s">
        <v>423</v>
      </c>
      <c r="E265" t="s">
        <v>424</v>
      </c>
      <c r="F265" t="s">
        <v>425</v>
      </c>
      <c r="G265">
        <v>45</v>
      </c>
      <c r="H265">
        <v>138</v>
      </c>
      <c r="I265">
        <v>5.32</v>
      </c>
      <c r="J265">
        <v>138</v>
      </c>
      <c r="K265">
        <v>5.32</v>
      </c>
      <c r="L265">
        <v>30.75</v>
      </c>
      <c r="M265">
        <v>-2.4300000000000002</v>
      </c>
      <c r="N265" t="s">
        <v>426</v>
      </c>
      <c r="O265" t="s">
        <v>427</v>
      </c>
      <c r="P265">
        <v>7.4</v>
      </c>
      <c r="Q265">
        <v>25</v>
      </c>
    </row>
    <row r="266" spans="1:18" x14ac:dyDescent="0.2">
      <c r="A266" t="s">
        <v>45</v>
      </c>
      <c r="B266">
        <v>2025</v>
      </c>
      <c r="C266">
        <v>5</v>
      </c>
      <c r="D266" t="s">
        <v>428</v>
      </c>
      <c r="E266" t="s">
        <v>429</v>
      </c>
      <c r="F266" t="s">
        <v>51</v>
      </c>
      <c r="G266">
        <v>22</v>
      </c>
      <c r="H266" t="s">
        <v>430</v>
      </c>
      <c r="I266" t="s">
        <v>431</v>
      </c>
      <c r="J266" t="s">
        <v>430</v>
      </c>
      <c r="K266" t="s">
        <v>431</v>
      </c>
      <c r="L266" t="s">
        <v>432</v>
      </c>
      <c r="M266" s="35" t="s">
        <v>433</v>
      </c>
      <c r="N266" t="s">
        <v>422</v>
      </c>
      <c r="O266" s="35" t="s">
        <v>434</v>
      </c>
      <c r="P266" t="s">
        <v>435</v>
      </c>
      <c r="Q266">
        <v>20</v>
      </c>
    </row>
    <row r="267" spans="1:18" x14ac:dyDescent="0.2">
      <c r="A267" t="s">
        <v>84</v>
      </c>
      <c r="B267">
        <v>2025</v>
      </c>
      <c r="C267">
        <v>5</v>
      </c>
      <c r="D267" t="s">
        <v>436</v>
      </c>
      <c r="E267" t="s">
        <v>437</v>
      </c>
      <c r="F267" t="s">
        <v>55</v>
      </c>
      <c r="G267">
        <v>130</v>
      </c>
      <c r="H267">
        <v>129.5</v>
      </c>
      <c r="I267">
        <v>9</v>
      </c>
      <c r="J267">
        <v>129.5</v>
      </c>
      <c r="K267">
        <v>9</v>
      </c>
      <c r="L267">
        <v>20</v>
      </c>
      <c r="M267">
        <v>-18</v>
      </c>
      <c r="N267" t="s">
        <v>422</v>
      </c>
      <c r="O267" t="s">
        <v>427</v>
      </c>
      <c r="P267">
        <v>37</v>
      </c>
      <c r="Q267">
        <v>42.9</v>
      </c>
      <c r="R267" t="s">
        <v>182</v>
      </c>
    </row>
    <row r="268" spans="1:18" x14ac:dyDescent="0.2">
      <c r="A268" t="s">
        <v>198</v>
      </c>
      <c r="B268">
        <v>2025</v>
      </c>
      <c r="C268">
        <v>5</v>
      </c>
      <c r="D268" t="s">
        <v>97</v>
      </c>
      <c r="E268" t="s">
        <v>438</v>
      </c>
      <c r="F268" t="s">
        <v>44</v>
      </c>
      <c r="G268">
        <v>40</v>
      </c>
      <c r="H268" t="s">
        <v>439</v>
      </c>
      <c r="I268" t="s">
        <v>440</v>
      </c>
      <c r="J268" t="s">
        <v>427</v>
      </c>
      <c r="K268" t="s">
        <v>427</v>
      </c>
      <c r="L268" t="s">
        <v>441</v>
      </c>
      <c r="M268" s="35" t="s">
        <v>442</v>
      </c>
      <c r="N268" t="s">
        <v>422</v>
      </c>
      <c r="O268" s="35" t="s">
        <v>443</v>
      </c>
      <c r="P268">
        <v>35</v>
      </c>
      <c r="Q268" t="s">
        <v>444</v>
      </c>
      <c r="R268" t="s">
        <v>445</v>
      </c>
    </row>
    <row r="269" spans="1:18" x14ac:dyDescent="0.2">
      <c r="A269" t="s">
        <v>198</v>
      </c>
      <c r="B269">
        <v>2025</v>
      </c>
      <c r="C269">
        <v>5</v>
      </c>
      <c r="D269" t="s">
        <v>151</v>
      </c>
      <c r="E269" t="s">
        <v>446</v>
      </c>
      <c r="F269" t="s">
        <v>44</v>
      </c>
      <c r="G269">
        <v>65</v>
      </c>
      <c r="H269">
        <v>13.6</v>
      </c>
      <c r="I269">
        <v>2.2999999999999998</v>
      </c>
      <c r="J269">
        <v>13.6</v>
      </c>
      <c r="K269">
        <v>2.2999999999999998</v>
      </c>
      <c r="L269">
        <v>25</v>
      </c>
      <c r="M269">
        <v>-0.5</v>
      </c>
      <c r="N269" t="s">
        <v>426</v>
      </c>
      <c r="O269" t="s">
        <v>427</v>
      </c>
      <c r="P269">
        <v>8.8000000000000007</v>
      </c>
      <c r="Q269">
        <v>11.4</v>
      </c>
    </row>
    <row r="270" spans="1:18" x14ac:dyDescent="0.2">
      <c r="A270" t="s">
        <v>45</v>
      </c>
      <c r="B270">
        <v>2025</v>
      </c>
      <c r="C270">
        <v>5</v>
      </c>
      <c r="D270" t="s">
        <v>72</v>
      </c>
      <c r="E270" t="s">
        <v>447</v>
      </c>
      <c r="F270" t="s">
        <v>55</v>
      </c>
      <c r="G270">
        <v>130</v>
      </c>
      <c r="H270">
        <v>206</v>
      </c>
      <c r="I270">
        <v>12</v>
      </c>
      <c r="J270">
        <v>206</v>
      </c>
      <c r="K270">
        <v>12</v>
      </c>
      <c r="L270">
        <v>25</v>
      </c>
      <c r="M270">
        <v>-27</v>
      </c>
      <c r="N270" t="s">
        <v>422</v>
      </c>
      <c r="O270" t="s">
        <v>427</v>
      </c>
      <c r="P270">
        <v>42</v>
      </c>
      <c r="Q270">
        <v>830</v>
      </c>
      <c r="R270" t="s">
        <v>448</v>
      </c>
    </row>
    <row r="271" spans="1:18" x14ac:dyDescent="0.2">
      <c r="A271" t="s">
        <v>59</v>
      </c>
      <c r="B271">
        <v>2025</v>
      </c>
      <c r="C271">
        <v>4</v>
      </c>
      <c r="D271" t="s">
        <v>53</v>
      </c>
      <c r="E271" t="s">
        <v>449</v>
      </c>
      <c r="F271" t="s">
        <v>51</v>
      </c>
      <c r="G271">
        <v>130</v>
      </c>
      <c r="H271">
        <v>3.5</v>
      </c>
      <c r="I271" t="s">
        <v>450</v>
      </c>
      <c r="J271">
        <v>3.5</v>
      </c>
      <c r="K271" t="s">
        <v>450</v>
      </c>
      <c r="L271" t="s">
        <v>451</v>
      </c>
      <c r="M271" t="s">
        <v>452</v>
      </c>
      <c r="N271" t="s">
        <v>453</v>
      </c>
      <c r="O271" s="32" t="s">
        <v>454</v>
      </c>
      <c r="P271">
        <v>2.8</v>
      </c>
      <c r="Q271">
        <v>240</v>
      </c>
    </row>
    <row r="272" spans="1:18" x14ac:dyDescent="0.2">
      <c r="A272" t="s">
        <v>59</v>
      </c>
      <c r="B272">
        <v>2025</v>
      </c>
      <c r="C272">
        <v>4</v>
      </c>
      <c r="D272" t="s">
        <v>455</v>
      </c>
      <c r="E272" t="s">
        <v>456</v>
      </c>
      <c r="F272" t="s">
        <v>55</v>
      </c>
      <c r="G272">
        <v>130</v>
      </c>
      <c r="H272">
        <v>30</v>
      </c>
      <c r="I272">
        <v>5.2</v>
      </c>
      <c r="J272">
        <v>30</v>
      </c>
      <c r="K272">
        <v>5.2</v>
      </c>
      <c r="L272">
        <v>25</v>
      </c>
      <c r="M272">
        <v>8.5</v>
      </c>
      <c r="N272" t="s">
        <v>453</v>
      </c>
      <c r="O272" t="s">
        <v>427</v>
      </c>
      <c r="P272">
        <v>5.2</v>
      </c>
      <c r="Q272">
        <v>166</v>
      </c>
      <c r="R272" t="s">
        <v>67</v>
      </c>
    </row>
    <row r="273" spans="1:18" x14ac:dyDescent="0.2">
      <c r="A273" t="s">
        <v>84</v>
      </c>
      <c r="B273">
        <v>2025</v>
      </c>
      <c r="C273">
        <v>4</v>
      </c>
      <c r="D273" t="s">
        <v>57</v>
      </c>
      <c r="E273" t="s">
        <v>457</v>
      </c>
      <c r="F273" t="s">
        <v>44</v>
      </c>
      <c r="G273">
        <v>65</v>
      </c>
      <c r="H273">
        <v>4</v>
      </c>
      <c r="I273">
        <v>4</v>
      </c>
      <c r="J273">
        <v>4</v>
      </c>
      <c r="K273">
        <v>4</v>
      </c>
      <c r="L273">
        <v>19</v>
      </c>
      <c r="M273" t="s">
        <v>427</v>
      </c>
      <c r="N273" t="s">
        <v>427</v>
      </c>
      <c r="O273" t="s">
        <v>427</v>
      </c>
      <c r="P273">
        <v>0.5</v>
      </c>
      <c r="Q273">
        <v>1.8</v>
      </c>
      <c r="R273" t="s">
        <v>458</v>
      </c>
    </row>
    <row r="274" spans="1:18" x14ac:dyDescent="0.2">
      <c r="A274" t="s">
        <v>59</v>
      </c>
      <c r="B274">
        <v>2025</v>
      </c>
      <c r="C274">
        <v>4</v>
      </c>
      <c r="D274" t="s">
        <v>210</v>
      </c>
      <c r="E274" t="s">
        <v>459</v>
      </c>
      <c r="F274" t="s">
        <v>44</v>
      </c>
      <c r="G274">
        <v>55</v>
      </c>
      <c r="H274">
        <v>5</v>
      </c>
      <c r="I274">
        <v>1.6</v>
      </c>
      <c r="J274">
        <v>5</v>
      </c>
      <c r="K274">
        <v>1.6</v>
      </c>
      <c r="L274">
        <v>24.6</v>
      </c>
      <c r="M274">
        <v>-20.5</v>
      </c>
      <c r="N274" t="s">
        <v>422</v>
      </c>
      <c r="O274">
        <v>-13</v>
      </c>
      <c r="P274">
        <v>4.8</v>
      </c>
      <c r="Q274">
        <v>9.1</v>
      </c>
      <c r="R274" t="s">
        <v>460</v>
      </c>
    </row>
    <row r="275" spans="1:18" x14ac:dyDescent="0.2">
      <c r="A275" t="s">
        <v>84</v>
      </c>
      <c r="B275">
        <v>2025</v>
      </c>
      <c r="C275">
        <v>4</v>
      </c>
      <c r="D275" t="s">
        <v>461</v>
      </c>
      <c r="E275" t="s">
        <v>462</v>
      </c>
      <c r="F275" t="s">
        <v>463</v>
      </c>
      <c r="G275">
        <v>65</v>
      </c>
      <c r="H275">
        <v>30</v>
      </c>
      <c r="I275">
        <v>1.92</v>
      </c>
      <c r="J275">
        <v>30</v>
      </c>
      <c r="K275">
        <v>1.92</v>
      </c>
      <c r="L275">
        <v>18.3</v>
      </c>
      <c r="M275">
        <v>-11</v>
      </c>
      <c r="N275" t="s">
        <v>422</v>
      </c>
      <c r="O275">
        <v>2.2000000000000002</v>
      </c>
      <c r="P275">
        <v>18.399999999999999</v>
      </c>
      <c r="Q275">
        <v>27.4</v>
      </c>
    </row>
    <row r="276" spans="1:18" x14ac:dyDescent="0.2">
      <c r="A276" t="s">
        <v>45</v>
      </c>
      <c r="B276">
        <v>2025</v>
      </c>
      <c r="C276">
        <v>4</v>
      </c>
      <c r="D276" t="s">
        <v>464</v>
      </c>
      <c r="E276" t="s">
        <v>465</v>
      </c>
      <c r="F276" t="s">
        <v>51</v>
      </c>
      <c r="G276">
        <v>22</v>
      </c>
      <c r="H276">
        <v>3.5</v>
      </c>
      <c r="I276">
        <v>1.3</v>
      </c>
      <c r="J276">
        <v>3.5</v>
      </c>
      <c r="K276">
        <v>1.3</v>
      </c>
      <c r="L276">
        <v>18</v>
      </c>
      <c r="M276">
        <v>-5</v>
      </c>
      <c r="N276" t="s">
        <v>422</v>
      </c>
      <c r="O276">
        <v>5</v>
      </c>
      <c r="P276">
        <v>3.25</v>
      </c>
      <c r="Q276">
        <v>124.5</v>
      </c>
      <c r="R276" t="s">
        <v>466</v>
      </c>
    </row>
    <row r="277" spans="1:18" x14ac:dyDescent="0.2">
      <c r="A277" t="s">
        <v>87</v>
      </c>
      <c r="B277">
        <v>2025</v>
      </c>
      <c r="C277">
        <v>3</v>
      </c>
      <c r="D277" t="s">
        <v>373</v>
      </c>
      <c r="E277" t="s">
        <v>467</v>
      </c>
      <c r="F277" t="s">
        <v>44</v>
      </c>
      <c r="G277">
        <v>40</v>
      </c>
      <c r="H277">
        <v>150</v>
      </c>
      <c r="I277">
        <v>5.7</v>
      </c>
      <c r="J277">
        <v>150</v>
      </c>
      <c r="K277">
        <v>5.7</v>
      </c>
      <c r="L277">
        <v>18.399999999999999</v>
      </c>
      <c r="M277">
        <v>-17</v>
      </c>
      <c r="N277" t="s">
        <v>422</v>
      </c>
      <c r="O277" t="s">
        <v>427</v>
      </c>
      <c r="P277">
        <v>26.8</v>
      </c>
      <c r="Q277">
        <v>17.3</v>
      </c>
      <c r="R277" t="s">
        <v>460</v>
      </c>
    </row>
    <row r="278" spans="1:18" x14ac:dyDescent="0.2">
      <c r="A278" t="s">
        <v>59</v>
      </c>
      <c r="B278">
        <v>2025</v>
      </c>
      <c r="C278">
        <v>3</v>
      </c>
      <c r="D278" t="s">
        <v>246</v>
      </c>
      <c r="E278" t="s">
        <v>468</v>
      </c>
      <c r="F278" t="s">
        <v>44</v>
      </c>
      <c r="G278">
        <v>65</v>
      </c>
      <c r="H278" t="s">
        <v>469</v>
      </c>
      <c r="I278" t="s">
        <v>470</v>
      </c>
      <c r="J278" t="s">
        <v>469</v>
      </c>
      <c r="K278" t="s">
        <v>470</v>
      </c>
      <c r="L278" t="s">
        <v>471</v>
      </c>
      <c r="M278" s="35" t="s">
        <v>472</v>
      </c>
      <c r="N278" t="s">
        <v>422</v>
      </c>
      <c r="O278" s="35" t="s">
        <v>473</v>
      </c>
      <c r="P278" t="s">
        <v>474</v>
      </c>
      <c r="Q278">
        <v>58.8</v>
      </c>
      <c r="R278" t="s">
        <v>182</v>
      </c>
    </row>
    <row r="279" spans="1:18" x14ac:dyDescent="0.2">
      <c r="A279" t="s">
        <v>87</v>
      </c>
      <c r="B279">
        <v>2025</v>
      </c>
      <c r="C279">
        <v>3</v>
      </c>
      <c r="D279" t="s">
        <v>97</v>
      </c>
      <c r="E279" t="s">
        <v>475</v>
      </c>
      <c r="F279" t="s">
        <v>44</v>
      </c>
      <c r="G279">
        <v>130</v>
      </c>
      <c r="H279">
        <v>6.5</v>
      </c>
      <c r="I279">
        <v>3.5</v>
      </c>
      <c r="J279">
        <v>6.5</v>
      </c>
      <c r="K279">
        <v>3.5</v>
      </c>
      <c r="L279">
        <v>56</v>
      </c>
      <c r="M279" t="s">
        <v>427</v>
      </c>
      <c r="N279" t="s">
        <v>427</v>
      </c>
      <c r="O279">
        <v>-13</v>
      </c>
      <c r="P279">
        <v>0.4</v>
      </c>
      <c r="Q279">
        <v>303.2</v>
      </c>
      <c r="R279" t="s">
        <v>182</v>
      </c>
    </row>
    <row r="280" spans="1:18" x14ac:dyDescent="0.2">
      <c r="A280" t="s">
        <v>87</v>
      </c>
      <c r="B280">
        <v>2025</v>
      </c>
      <c r="C280">
        <v>3</v>
      </c>
      <c r="D280" t="s">
        <v>57</v>
      </c>
      <c r="E280" t="s">
        <v>476</v>
      </c>
      <c r="F280" t="s">
        <v>44</v>
      </c>
      <c r="G280">
        <v>40</v>
      </c>
      <c r="H280">
        <v>73</v>
      </c>
      <c r="I280">
        <v>5.0999999999999996</v>
      </c>
      <c r="J280">
        <v>76</v>
      </c>
      <c r="K280">
        <v>6.5</v>
      </c>
      <c r="L280">
        <v>18.100000000000001</v>
      </c>
      <c r="M280">
        <v>-14.5</v>
      </c>
      <c r="N280" t="s">
        <v>422</v>
      </c>
      <c r="O280">
        <v>-4.9000000000000004</v>
      </c>
      <c r="P280">
        <v>24.1</v>
      </c>
      <c r="Q280">
        <v>26</v>
      </c>
    </row>
    <row r="281" spans="1:18" x14ac:dyDescent="0.2">
      <c r="A281" t="s">
        <v>59</v>
      </c>
      <c r="B281">
        <v>2025</v>
      </c>
      <c r="C281">
        <v>3</v>
      </c>
      <c r="D281" t="s">
        <v>477</v>
      </c>
      <c r="E281" t="s">
        <v>478</v>
      </c>
      <c r="F281" t="s">
        <v>479</v>
      </c>
      <c r="G281">
        <v>45</v>
      </c>
      <c r="H281">
        <v>27.3</v>
      </c>
      <c r="I281">
        <v>3.2</v>
      </c>
      <c r="J281">
        <v>27.3</v>
      </c>
      <c r="K281">
        <v>3.2</v>
      </c>
      <c r="L281">
        <v>61.5</v>
      </c>
      <c r="M281" t="s">
        <v>427</v>
      </c>
      <c r="N281" t="s">
        <v>427</v>
      </c>
      <c r="O281" t="s">
        <v>427</v>
      </c>
      <c r="P281" t="s">
        <v>427</v>
      </c>
      <c r="Q281">
        <v>48.8</v>
      </c>
      <c r="R281" t="s">
        <v>182</v>
      </c>
    </row>
    <row r="282" spans="1:18" x14ac:dyDescent="0.2">
      <c r="A282" t="s">
        <v>45</v>
      </c>
      <c r="B282">
        <v>2025</v>
      </c>
      <c r="C282">
        <v>3</v>
      </c>
      <c r="D282" t="s">
        <v>65</v>
      </c>
      <c r="E282" t="s">
        <v>480</v>
      </c>
      <c r="F282" t="s">
        <v>481</v>
      </c>
      <c r="G282">
        <v>130</v>
      </c>
      <c r="H282">
        <v>50</v>
      </c>
      <c r="I282">
        <v>4.0599999999999996</v>
      </c>
      <c r="J282">
        <v>50</v>
      </c>
      <c r="K282">
        <v>4.0599999999999996</v>
      </c>
      <c r="L282">
        <v>14.8</v>
      </c>
      <c r="M282">
        <v>-18</v>
      </c>
      <c r="N282" t="s">
        <v>422</v>
      </c>
      <c r="O282">
        <v>-5.5</v>
      </c>
      <c r="P282">
        <v>51.3</v>
      </c>
      <c r="Q282">
        <v>17.5</v>
      </c>
      <c r="R282" t="s">
        <v>482</v>
      </c>
    </row>
    <row r="283" spans="1:18" x14ac:dyDescent="0.2">
      <c r="A283" t="s">
        <v>59</v>
      </c>
      <c r="B283">
        <v>2025</v>
      </c>
      <c r="C283">
        <v>2</v>
      </c>
      <c r="D283" t="s">
        <v>483</v>
      </c>
      <c r="E283" t="s">
        <v>484</v>
      </c>
      <c r="F283" t="s">
        <v>44</v>
      </c>
      <c r="G283">
        <v>28</v>
      </c>
      <c r="H283">
        <v>25</v>
      </c>
      <c r="I283">
        <v>5.5</v>
      </c>
      <c r="J283">
        <v>25</v>
      </c>
      <c r="K283">
        <v>5.5</v>
      </c>
      <c r="L283">
        <v>11.8</v>
      </c>
      <c r="M283">
        <v>-11</v>
      </c>
      <c r="N283" t="s">
        <v>422</v>
      </c>
      <c r="O283">
        <v>-1</v>
      </c>
      <c r="P283">
        <v>6.2</v>
      </c>
      <c r="Q283">
        <v>75.599999999999994</v>
      </c>
      <c r="R283" t="s">
        <v>182</v>
      </c>
    </row>
    <row r="284" spans="1:18" x14ac:dyDescent="0.2">
      <c r="A284" t="s">
        <v>45</v>
      </c>
      <c r="B284">
        <v>2025</v>
      </c>
      <c r="C284">
        <v>2</v>
      </c>
      <c r="D284" t="s">
        <v>485</v>
      </c>
      <c r="E284" t="s">
        <v>486</v>
      </c>
      <c r="F284" t="s">
        <v>44</v>
      </c>
      <c r="G284">
        <v>28</v>
      </c>
      <c r="H284">
        <v>120</v>
      </c>
      <c r="I284">
        <v>3.2</v>
      </c>
      <c r="J284" t="s">
        <v>427</v>
      </c>
      <c r="K284" t="s">
        <v>427</v>
      </c>
      <c r="L284" t="s">
        <v>427</v>
      </c>
      <c r="M284" t="s">
        <v>427</v>
      </c>
      <c r="N284" t="s">
        <v>427</v>
      </c>
      <c r="O284" t="s">
        <v>427</v>
      </c>
      <c r="P284" t="s">
        <v>427</v>
      </c>
      <c r="Q284">
        <v>222</v>
      </c>
      <c r="R284" t="s">
        <v>182</v>
      </c>
    </row>
    <row r="285" spans="1:18" x14ac:dyDescent="0.2">
      <c r="A285" t="s">
        <v>87</v>
      </c>
      <c r="B285">
        <v>2025</v>
      </c>
      <c r="C285">
        <v>2</v>
      </c>
      <c r="D285" t="s">
        <v>487</v>
      </c>
      <c r="E285" t="s">
        <v>488</v>
      </c>
      <c r="F285" t="s">
        <v>44</v>
      </c>
      <c r="G285">
        <v>28</v>
      </c>
      <c r="H285" t="s">
        <v>489</v>
      </c>
      <c r="I285" t="s">
        <v>490</v>
      </c>
      <c r="J285" t="s">
        <v>491</v>
      </c>
      <c r="K285" t="s">
        <v>492</v>
      </c>
      <c r="L285" t="s">
        <v>493</v>
      </c>
      <c r="M285" t="s">
        <v>494</v>
      </c>
      <c r="N285" t="s">
        <v>422</v>
      </c>
      <c r="O285" t="s">
        <v>495</v>
      </c>
      <c r="P285" t="s">
        <v>496</v>
      </c>
      <c r="Q285" t="s">
        <v>497</v>
      </c>
      <c r="R285" t="s">
        <v>498</v>
      </c>
    </row>
    <row r="286" spans="1:18" x14ac:dyDescent="0.2">
      <c r="A286" t="s">
        <v>87</v>
      </c>
      <c r="B286">
        <v>2025</v>
      </c>
      <c r="C286">
        <v>2</v>
      </c>
      <c r="D286" t="s">
        <v>246</v>
      </c>
      <c r="E286" t="s">
        <v>499</v>
      </c>
      <c r="F286" t="s">
        <v>44</v>
      </c>
      <c r="G286">
        <v>65</v>
      </c>
      <c r="H286">
        <v>38</v>
      </c>
      <c r="I286">
        <v>4.8</v>
      </c>
      <c r="J286">
        <v>38</v>
      </c>
      <c r="K286">
        <v>4.8</v>
      </c>
      <c r="L286">
        <v>26.8</v>
      </c>
      <c r="M286" t="s">
        <v>427</v>
      </c>
      <c r="N286" t="s">
        <v>427</v>
      </c>
      <c r="O286" t="s">
        <v>427</v>
      </c>
      <c r="P286">
        <v>6.3</v>
      </c>
      <c r="Q286" t="s">
        <v>427</v>
      </c>
      <c r="R286" t="s">
        <v>182</v>
      </c>
    </row>
    <row r="287" spans="1:18" x14ac:dyDescent="0.2">
      <c r="A287" t="s">
        <v>59</v>
      </c>
      <c r="B287">
        <v>2025</v>
      </c>
      <c r="C287">
        <v>2</v>
      </c>
      <c r="D287" t="s">
        <v>177</v>
      </c>
      <c r="E287" t="s">
        <v>500</v>
      </c>
      <c r="F287" t="s">
        <v>44</v>
      </c>
      <c r="G287">
        <v>65</v>
      </c>
      <c r="H287" t="s">
        <v>501</v>
      </c>
      <c r="I287" t="s">
        <v>502</v>
      </c>
      <c r="J287" t="s">
        <v>501</v>
      </c>
      <c r="K287" t="s">
        <v>502</v>
      </c>
      <c r="L287" t="s">
        <v>503</v>
      </c>
      <c r="M287" t="s">
        <v>427</v>
      </c>
      <c r="N287" t="s">
        <v>427</v>
      </c>
      <c r="O287" s="35" t="s">
        <v>504</v>
      </c>
      <c r="P287" t="s">
        <v>505</v>
      </c>
      <c r="Q287" t="s">
        <v>506</v>
      </c>
    </row>
    <row r="288" spans="1:18" x14ac:dyDescent="0.2">
      <c r="A288" t="s">
        <v>45</v>
      </c>
      <c r="B288">
        <v>2025</v>
      </c>
      <c r="C288">
        <v>1</v>
      </c>
      <c r="D288" t="s">
        <v>264</v>
      </c>
      <c r="E288" t="s">
        <v>507</v>
      </c>
      <c r="F288" t="s">
        <v>44</v>
      </c>
      <c r="G288">
        <v>40</v>
      </c>
      <c r="H288">
        <v>1</v>
      </c>
      <c r="I288">
        <v>1.95</v>
      </c>
      <c r="J288">
        <v>10</v>
      </c>
      <c r="K288">
        <v>2.8</v>
      </c>
      <c r="L288">
        <v>20.6</v>
      </c>
      <c r="M288">
        <v>-22</v>
      </c>
      <c r="N288" t="s">
        <v>422</v>
      </c>
      <c r="O288">
        <v>-13.5</v>
      </c>
      <c r="P288">
        <v>22.2</v>
      </c>
      <c r="Q288">
        <v>26</v>
      </c>
    </row>
    <row r="289" spans="1:18" x14ac:dyDescent="0.2">
      <c r="A289" t="s">
        <v>108</v>
      </c>
      <c r="B289">
        <v>2025</v>
      </c>
      <c r="C289">
        <v>1</v>
      </c>
      <c r="D289" t="s">
        <v>508</v>
      </c>
      <c r="E289" t="s">
        <v>509</v>
      </c>
      <c r="F289" t="s">
        <v>44</v>
      </c>
      <c r="G289">
        <v>130</v>
      </c>
      <c r="H289">
        <v>10</v>
      </c>
      <c r="I289" t="s">
        <v>510</v>
      </c>
      <c r="J289" t="s">
        <v>427</v>
      </c>
      <c r="K289" t="s">
        <v>427</v>
      </c>
      <c r="L289" t="s">
        <v>511</v>
      </c>
      <c r="P289" t="s">
        <v>512</v>
      </c>
      <c r="Q289" t="s">
        <v>513</v>
      </c>
      <c r="R289" t="s">
        <v>91</v>
      </c>
    </row>
    <row r="290" spans="1:18" x14ac:dyDescent="0.2">
      <c r="A290" t="s">
        <v>84</v>
      </c>
      <c r="B290">
        <v>2025</v>
      </c>
      <c r="C290">
        <v>1</v>
      </c>
      <c r="D290" t="s">
        <v>514</v>
      </c>
      <c r="E290" t="s">
        <v>515</v>
      </c>
      <c r="F290" t="s">
        <v>44</v>
      </c>
      <c r="G290">
        <v>40</v>
      </c>
      <c r="H290">
        <v>73</v>
      </c>
      <c r="I290">
        <v>5.96</v>
      </c>
      <c r="J290">
        <v>73</v>
      </c>
      <c r="K290">
        <v>5.96</v>
      </c>
      <c r="L290">
        <v>10</v>
      </c>
      <c r="M290">
        <v>-12.87</v>
      </c>
      <c r="N290" t="s">
        <v>422</v>
      </c>
      <c r="O290" t="s">
        <v>427</v>
      </c>
      <c r="P290">
        <v>19.8</v>
      </c>
      <c r="Q290">
        <v>18</v>
      </c>
    </row>
    <row r="291" spans="1:18" x14ac:dyDescent="0.2">
      <c r="A291" t="s">
        <v>108</v>
      </c>
      <c r="B291">
        <v>2025</v>
      </c>
      <c r="C291">
        <v>1</v>
      </c>
      <c r="D291" t="s">
        <v>77</v>
      </c>
      <c r="E291" t="s">
        <v>516</v>
      </c>
      <c r="F291" t="s">
        <v>44</v>
      </c>
      <c r="G291">
        <v>65</v>
      </c>
      <c r="H291">
        <v>28.6</v>
      </c>
      <c r="I291">
        <v>4.8</v>
      </c>
      <c r="J291">
        <v>28.6</v>
      </c>
      <c r="K291">
        <v>4.8</v>
      </c>
      <c r="L291">
        <v>17</v>
      </c>
      <c r="M291">
        <v>-18</v>
      </c>
      <c r="N291" t="s">
        <v>422</v>
      </c>
      <c r="O291" t="s">
        <v>427</v>
      </c>
      <c r="P291">
        <v>6</v>
      </c>
      <c r="Q291">
        <v>33</v>
      </c>
      <c r="R291" t="s">
        <v>182</v>
      </c>
    </row>
    <row r="292" spans="1:18" x14ac:dyDescent="0.2">
      <c r="A292" t="s">
        <v>87</v>
      </c>
      <c r="B292">
        <v>2025</v>
      </c>
      <c r="C292">
        <v>1</v>
      </c>
      <c r="D292" t="s">
        <v>517</v>
      </c>
      <c r="E292" t="s">
        <v>518</v>
      </c>
      <c r="F292" t="s">
        <v>44</v>
      </c>
      <c r="G292">
        <v>65</v>
      </c>
      <c r="H292">
        <v>0.9</v>
      </c>
      <c r="I292">
        <v>2.08</v>
      </c>
      <c r="J292">
        <v>1.5</v>
      </c>
      <c r="K292">
        <v>2.2000000000000002</v>
      </c>
      <c r="L292">
        <v>16.5</v>
      </c>
      <c r="M292">
        <v>-19</v>
      </c>
      <c r="N292" t="s">
        <v>422</v>
      </c>
      <c r="O292">
        <v>-8.2200000000000006</v>
      </c>
      <c r="P292">
        <v>2.58</v>
      </c>
      <c r="Q292">
        <v>10.6</v>
      </c>
    </row>
    <row r="293" spans="1:18" x14ac:dyDescent="0.2">
      <c r="A293" t="s">
        <v>45</v>
      </c>
      <c r="B293">
        <v>2025</v>
      </c>
      <c r="C293">
        <v>1</v>
      </c>
      <c r="D293" t="s">
        <v>246</v>
      </c>
      <c r="E293" t="s">
        <v>519</v>
      </c>
      <c r="F293" t="s">
        <v>44</v>
      </c>
      <c r="G293">
        <v>65</v>
      </c>
      <c r="H293">
        <v>72</v>
      </c>
      <c r="I293">
        <v>5.7</v>
      </c>
      <c r="J293">
        <v>72</v>
      </c>
      <c r="K293">
        <v>5.7</v>
      </c>
      <c r="L293">
        <v>18.899999999999999</v>
      </c>
      <c r="M293">
        <v>-11.4</v>
      </c>
      <c r="N293" t="s">
        <v>422</v>
      </c>
      <c r="O293" t="s">
        <v>427</v>
      </c>
      <c r="P293" t="s">
        <v>427</v>
      </c>
      <c r="Q293">
        <v>67.3</v>
      </c>
      <c r="R293" t="s">
        <v>182</v>
      </c>
    </row>
    <row r="294" spans="1:18" x14ac:dyDescent="0.2">
      <c r="A294" t="s">
        <v>84</v>
      </c>
      <c r="B294">
        <v>2025</v>
      </c>
      <c r="C294">
        <v>1</v>
      </c>
      <c r="D294" t="s">
        <v>97</v>
      </c>
      <c r="E294" t="s">
        <v>520</v>
      </c>
      <c r="F294" t="s">
        <v>481</v>
      </c>
      <c r="G294">
        <v>130</v>
      </c>
      <c r="H294">
        <v>92</v>
      </c>
      <c r="I294">
        <v>4</v>
      </c>
      <c r="J294">
        <v>92</v>
      </c>
      <c r="K294">
        <v>4</v>
      </c>
      <c r="L294">
        <v>20</v>
      </c>
      <c r="M294">
        <v>-19</v>
      </c>
      <c r="N294" t="s">
        <v>422</v>
      </c>
      <c r="O294" t="s">
        <v>427</v>
      </c>
      <c r="P294">
        <v>28</v>
      </c>
      <c r="Q294">
        <v>12.5</v>
      </c>
    </row>
    <row r="295" spans="1:18" x14ac:dyDescent="0.2">
      <c r="A295" t="s">
        <v>84</v>
      </c>
      <c r="B295">
        <v>2025</v>
      </c>
      <c r="C295">
        <v>1</v>
      </c>
      <c r="D295" t="s">
        <v>521</v>
      </c>
      <c r="E295" t="s">
        <v>522</v>
      </c>
      <c r="F295" t="s">
        <v>44</v>
      </c>
      <c r="G295">
        <v>28</v>
      </c>
      <c r="H295">
        <v>2.2000000000000002</v>
      </c>
      <c r="I295">
        <v>1.4</v>
      </c>
      <c r="J295">
        <v>2.2000000000000002</v>
      </c>
      <c r="K295">
        <v>1.4</v>
      </c>
      <c r="L295">
        <v>24.4</v>
      </c>
      <c r="M295">
        <v>-15.8</v>
      </c>
      <c r="N295" t="s">
        <v>422</v>
      </c>
      <c r="O295">
        <v>-3.6</v>
      </c>
      <c r="P295" t="s">
        <v>427</v>
      </c>
      <c r="Q295">
        <v>17.399999999999999</v>
      </c>
      <c r="R295" t="s">
        <v>182</v>
      </c>
    </row>
    <row r="296" spans="1:18" x14ac:dyDescent="0.2">
      <c r="A296" t="s">
        <v>84</v>
      </c>
      <c r="B296">
        <v>2025</v>
      </c>
      <c r="C296">
        <v>1</v>
      </c>
      <c r="D296" t="s">
        <v>166</v>
      </c>
      <c r="E296" s="28" t="s">
        <v>523</v>
      </c>
      <c r="F296" t="s">
        <v>44</v>
      </c>
      <c r="G296">
        <v>90</v>
      </c>
      <c r="H296">
        <v>2.62</v>
      </c>
      <c r="I296">
        <v>1.1000000000000001</v>
      </c>
      <c r="J296">
        <v>2.62</v>
      </c>
      <c r="K296">
        <v>1.1000000000000001</v>
      </c>
      <c r="L296">
        <v>18.329999999999998</v>
      </c>
      <c r="M296" t="s">
        <v>427</v>
      </c>
      <c r="N296" t="s">
        <v>427</v>
      </c>
      <c r="O296">
        <v>-5.9</v>
      </c>
      <c r="P296">
        <v>1.38</v>
      </c>
      <c r="Q296">
        <v>11.76</v>
      </c>
    </row>
    <row r="297" spans="1:18" x14ac:dyDescent="0.2">
      <c r="A297" t="s">
        <v>59</v>
      </c>
      <c r="B297">
        <v>2025</v>
      </c>
      <c r="C297">
        <v>1</v>
      </c>
      <c r="D297" t="s">
        <v>524</v>
      </c>
      <c r="E297" t="s">
        <v>525</v>
      </c>
      <c r="F297" t="s">
        <v>44</v>
      </c>
      <c r="G297">
        <v>28</v>
      </c>
      <c r="H297">
        <v>31</v>
      </c>
      <c r="I297">
        <v>5.3</v>
      </c>
      <c r="J297">
        <v>31</v>
      </c>
      <c r="K297">
        <v>5.3</v>
      </c>
      <c r="L297">
        <v>17.3</v>
      </c>
      <c r="M297">
        <v>-10.3</v>
      </c>
      <c r="N297" t="s">
        <v>422</v>
      </c>
      <c r="O297">
        <v>0</v>
      </c>
      <c r="P297">
        <v>8</v>
      </c>
      <c r="Q297">
        <v>63</v>
      </c>
    </row>
    <row r="298" spans="1:18" x14ac:dyDescent="0.2">
      <c r="A298" t="s">
        <v>84</v>
      </c>
      <c r="B298">
        <v>2024</v>
      </c>
      <c r="C298">
        <v>12</v>
      </c>
      <c r="D298" t="s">
        <v>63</v>
      </c>
      <c r="E298" t="s">
        <v>526</v>
      </c>
      <c r="F298" t="s">
        <v>44</v>
      </c>
      <c r="G298">
        <v>180</v>
      </c>
      <c r="H298">
        <v>6.7</v>
      </c>
      <c r="I298">
        <v>4.8</v>
      </c>
      <c r="J298">
        <v>6.7</v>
      </c>
      <c r="K298">
        <v>4.8</v>
      </c>
      <c r="L298">
        <v>45</v>
      </c>
      <c r="M298" t="s">
        <v>427</v>
      </c>
      <c r="N298" t="s">
        <v>427</v>
      </c>
      <c r="O298">
        <v>-20</v>
      </c>
      <c r="P298" t="s">
        <v>427</v>
      </c>
      <c r="Q298">
        <v>23.8</v>
      </c>
      <c r="R298" t="s">
        <v>182</v>
      </c>
    </row>
    <row r="299" spans="1:18" x14ac:dyDescent="0.2">
      <c r="A299" t="s">
        <v>45</v>
      </c>
      <c r="B299">
        <v>2024</v>
      </c>
      <c r="C299">
        <v>12</v>
      </c>
      <c r="D299" t="s">
        <v>137</v>
      </c>
      <c r="E299" t="s">
        <v>527</v>
      </c>
      <c r="F299" t="s">
        <v>44</v>
      </c>
      <c r="G299">
        <v>65</v>
      </c>
      <c r="H299">
        <v>140</v>
      </c>
      <c r="I299" t="s">
        <v>427</v>
      </c>
      <c r="J299" t="s">
        <v>427</v>
      </c>
      <c r="K299">
        <v>12</v>
      </c>
      <c r="L299" t="s">
        <v>528</v>
      </c>
      <c r="M299" t="s">
        <v>427</v>
      </c>
      <c r="N299" t="s">
        <v>427</v>
      </c>
      <c r="O299" t="s">
        <v>427</v>
      </c>
      <c r="P299" t="s">
        <v>427</v>
      </c>
      <c r="Q299" t="s">
        <v>529</v>
      </c>
      <c r="R299" t="s">
        <v>182</v>
      </c>
    </row>
    <row r="300" spans="1:18" x14ac:dyDescent="0.2">
      <c r="A300" t="s">
        <v>59</v>
      </c>
      <c r="B300">
        <v>2024</v>
      </c>
      <c r="C300">
        <v>12</v>
      </c>
      <c r="D300" t="s">
        <v>97</v>
      </c>
      <c r="E300" t="s">
        <v>530</v>
      </c>
      <c r="F300" t="s">
        <v>51</v>
      </c>
      <c r="G300">
        <v>45</v>
      </c>
      <c r="H300">
        <v>18.5</v>
      </c>
      <c r="I300">
        <v>2.46</v>
      </c>
      <c r="J300">
        <v>18.5</v>
      </c>
      <c r="K300">
        <v>2.46</v>
      </c>
      <c r="L300">
        <v>16.2</v>
      </c>
      <c r="M300">
        <v>-21</v>
      </c>
      <c r="N300" t="s">
        <v>422</v>
      </c>
      <c r="O300" t="s">
        <v>427</v>
      </c>
      <c r="P300" t="s">
        <v>427</v>
      </c>
      <c r="Q300">
        <v>36</v>
      </c>
    </row>
    <row r="301" spans="1:18" x14ac:dyDescent="0.2">
      <c r="A301" t="s">
        <v>59</v>
      </c>
      <c r="B301">
        <v>2024</v>
      </c>
      <c r="C301">
        <v>12</v>
      </c>
      <c r="D301" t="s">
        <v>373</v>
      </c>
      <c r="E301" t="s">
        <v>531</v>
      </c>
      <c r="F301" t="s">
        <v>44</v>
      </c>
      <c r="G301">
        <v>40</v>
      </c>
      <c r="H301">
        <v>146</v>
      </c>
      <c r="I301">
        <v>6.1</v>
      </c>
      <c r="J301">
        <v>140</v>
      </c>
      <c r="K301">
        <v>6.62</v>
      </c>
      <c r="L301">
        <v>18.399999999999999</v>
      </c>
      <c r="M301">
        <v>-17</v>
      </c>
      <c r="N301" t="s">
        <v>422</v>
      </c>
      <c r="O301">
        <v>-8</v>
      </c>
      <c r="P301">
        <v>16.5</v>
      </c>
      <c r="Q301">
        <v>17.100000000000001</v>
      </c>
    </row>
    <row r="302" spans="1:18" x14ac:dyDescent="0.2">
      <c r="A302" t="s">
        <v>87</v>
      </c>
      <c r="B302">
        <v>2024</v>
      </c>
      <c r="C302">
        <v>11</v>
      </c>
      <c r="D302" t="s">
        <v>301</v>
      </c>
      <c r="E302" t="s">
        <v>532</v>
      </c>
      <c r="F302" t="s">
        <v>44</v>
      </c>
      <c r="G302">
        <v>130</v>
      </c>
      <c r="H302">
        <v>0.9</v>
      </c>
      <c r="I302">
        <v>1.1000000000000001</v>
      </c>
      <c r="J302">
        <v>0.9</v>
      </c>
      <c r="K302">
        <v>1.1000000000000001</v>
      </c>
      <c r="L302">
        <v>21</v>
      </c>
      <c r="M302" t="s">
        <v>427</v>
      </c>
      <c r="N302" t="s">
        <v>427</v>
      </c>
      <c r="O302">
        <v>-6</v>
      </c>
      <c r="P302">
        <v>1.7</v>
      </c>
      <c r="Q302">
        <v>9.1</v>
      </c>
    </row>
    <row r="303" spans="1:18" x14ac:dyDescent="0.2">
      <c r="A303" t="s">
        <v>84</v>
      </c>
      <c r="B303">
        <v>2024</v>
      </c>
      <c r="C303">
        <v>11</v>
      </c>
      <c r="D303" t="s">
        <v>346</v>
      </c>
      <c r="E303" t="s">
        <v>533</v>
      </c>
      <c r="F303" t="s">
        <v>44</v>
      </c>
      <c r="G303">
        <v>65</v>
      </c>
      <c r="H303">
        <v>82.2</v>
      </c>
      <c r="I303">
        <v>3.77</v>
      </c>
      <c r="J303">
        <v>77</v>
      </c>
      <c r="K303">
        <v>5</v>
      </c>
      <c r="L303">
        <v>15</v>
      </c>
      <c r="M303">
        <v>-14</v>
      </c>
      <c r="N303" t="s">
        <v>422</v>
      </c>
      <c r="O303" t="s">
        <v>427</v>
      </c>
      <c r="P303">
        <v>19.399999999999999</v>
      </c>
      <c r="Q303">
        <v>44.5</v>
      </c>
    </row>
    <row r="304" spans="1:18" x14ac:dyDescent="0.2">
      <c r="A304" t="s">
        <v>87</v>
      </c>
      <c r="B304">
        <v>2024</v>
      </c>
      <c r="C304">
        <v>11</v>
      </c>
      <c r="D304" t="s">
        <v>77</v>
      </c>
      <c r="E304" t="s">
        <v>534</v>
      </c>
      <c r="F304" t="s">
        <v>44</v>
      </c>
      <c r="G304">
        <v>40</v>
      </c>
      <c r="H304">
        <v>216</v>
      </c>
      <c r="I304">
        <v>9.68</v>
      </c>
      <c r="J304">
        <v>220</v>
      </c>
      <c r="K304">
        <v>9.83</v>
      </c>
      <c r="L304">
        <v>24.6</v>
      </c>
      <c r="M304">
        <v>-3.6</v>
      </c>
      <c r="N304" t="s">
        <v>453</v>
      </c>
      <c r="O304" t="s">
        <v>427</v>
      </c>
      <c r="P304">
        <v>11</v>
      </c>
      <c r="Q304">
        <v>36.9</v>
      </c>
    </row>
    <row r="305" spans="1:18" x14ac:dyDescent="0.2">
      <c r="A305" t="s">
        <v>59</v>
      </c>
      <c r="B305">
        <v>2024</v>
      </c>
      <c r="C305">
        <v>11</v>
      </c>
      <c r="D305" t="s">
        <v>151</v>
      </c>
      <c r="E305" t="s">
        <v>535</v>
      </c>
      <c r="F305" t="s">
        <v>51</v>
      </c>
      <c r="G305">
        <v>28</v>
      </c>
      <c r="H305" t="s">
        <v>536</v>
      </c>
      <c r="I305" t="s">
        <v>537</v>
      </c>
      <c r="J305" t="s">
        <v>536</v>
      </c>
      <c r="K305" t="s">
        <v>537</v>
      </c>
      <c r="L305" t="s">
        <v>538</v>
      </c>
      <c r="M305" s="35" t="s">
        <v>539</v>
      </c>
      <c r="N305" t="s">
        <v>422</v>
      </c>
      <c r="O305" t="s">
        <v>427</v>
      </c>
      <c r="P305" t="s">
        <v>427</v>
      </c>
      <c r="Q305" t="s">
        <v>540</v>
      </c>
      <c r="R305" t="s">
        <v>182</v>
      </c>
    </row>
    <row r="306" spans="1:18" x14ac:dyDescent="0.2">
      <c r="A306" t="s">
        <v>87</v>
      </c>
      <c r="B306">
        <v>2024</v>
      </c>
      <c r="C306">
        <v>11</v>
      </c>
      <c r="D306" t="s">
        <v>541</v>
      </c>
      <c r="E306" t="s">
        <v>542</v>
      </c>
      <c r="F306" t="s">
        <v>44</v>
      </c>
      <c r="G306">
        <v>40</v>
      </c>
      <c r="H306">
        <v>123</v>
      </c>
      <c r="I306">
        <v>5</v>
      </c>
      <c r="J306">
        <v>123</v>
      </c>
      <c r="K306">
        <v>5</v>
      </c>
      <c r="L306">
        <v>23.8</v>
      </c>
      <c r="M306">
        <v>-24.8</v>
      </c>
      <c r="N306" t="s">
        <v>422</v>
      </c>
      <c r="O306">
        <v>-17</v>
      </c>
      <c r="P306">
        <v>10</v>
      </c>
      <c r="Q306">
        <v>26</v>
      </c>
      <c r="R306" t="s">
        <v>460</v>
      </c>
    </row>
    <row r="307" spans="1:18" x14ac:dyDescent="0.2">
      <c r="A307" t="s">
        <v>84</v>
      </c>
      <c r="B307">
        <v>2024</v>
      </c>
      <c r="C307">
        <v>10</v>
      </c>
      <c r="D307" t="s">
        <v>367</v>
      </c>
      <c r="E307" t="s">
        <v>543</v>
      </c>
      <c r="F307" t="s">
        <v>44</v>
      </c>
      <c r="G307">
        <v>65</v>
      </c>
      <c r="H307">
        <v>61</v>
      </c>
      <c r="I307">
        <v>6.4</v>
      </c>
      <c r="J307">
        <v>61</v>
      </c>
      <c r="K307">
        <v>6.4</v>
      </c>
      <c r="L307">
        <v>25</v>
      </c>
      <c r="M307" t="s">
        <v>427</v>
      </c>
      <c r="N307" t="s">
        <v>427</v>
      </c>
      <c r="O307" t="s">
        <v>427</v>
      </c>
      <c r="P307">
        <v>11</v>
      </c>
      <c r="Q307">
        <v>48</v>
      </c>
    </row>
    <row r="308" spans="1:18" x14ac:dyDescent="0.2">
      <c r="A308" t="s">
        <v>108</v>
      </c>
      <c r="B308">
        <v>2024</v>
      </c>
      <c r="C308">
        <v>10</v>
      </c>
      <c r="D308" t="s">
        <v>544</v>
      </c>
      <c r="E308" t="s">
        <v>545</v>
      </c>
      <c r="F308" t="s">
        <v>481</v>
      </c>
      <c r="G308">
        <v>130</v>
      </c>
      <c r="H308" t="s">
        <v>546</v>
      </c>
      <c r="I308" t="s">
        <v>547</v>
      </c>
      <c r="J308" t="s">
        <v>546</v>
      </c>
      <c r="K308" t="s">
        <v>547</v>
      </c>
      <c r="L308" t="s">
        <v>548</v>
      </c>
      <c r="M308" s="35" t="s">
        <v>549</v>
      </c>
      <c r="N308" t="s">
        <v>422</v>
      </c>
      <c r="O308" t="s">
        <v>427</v>
      </c>
      <c r="P308" t="s">
        <v>550</v>
      </c>
      <c r="Q308" t="s">
        <v>551</v>
      </c>
      <c r="R308" t="s">
        <v>552</v>
      </c>
    </row>
    <row r="309" spans="1:18" x14ac:dyDescent="0.2">
      <c r="A309" t="s">
        <v>87</v>
      </c>
      <c r="B309">
        <v>2024</v>
      </c>
      <c r="C309">
        <v>10</v>
      </c>
      <c r="D309" t="s">
        <v>553</v>
      </c>
      <c r="E309" t="s">
        <v>554</v>
      </c>
      <c r="F309" t="s">
        <v>44</v>
      </c>
      <c r="G309">
        <v>110</v>
      </c>
      <c r="H309">
        <v>21</v>
      </c>
      <c r="I309">
        <v>2.2999999999999998</v>
      </c>
      <c r="J309">
        <v>21</v>
      </c>
      <c r="K309">
        <v>2.2999999999999998</v>
      </c>
      <c r="L309">
        <v>14</v>
      </c>
      <c r="M309">
        <v>-10</v>
      </c>
      <c r="N309" t="s">
        <v>422</v>
      </c>
      <c r="O309" t="s">
        <v>427</v>
      </c>
      <c r="P309">
        <v>9.5</v>
      </c>
      <c r="Q309">
        <v>25.6</v>
      </c>
    </row>
    <row r="310" spans="1:18" x14ac:dyDescent="0.2">
      <c r="A310" t="s">
        <v>108</v>
      </c>
      <c r="B310">
        <v>2024</v>
      </c>
      <c r="C310">
        <v>9</v>
      </c>
      <c r="D310" t="s">
        <v>77</v>
      </c>
      <c r="E310" t="s">
        <v>555</v>
      </c>
      <c r="F310" t="s">
        <v>44</v>
      </c>
      <c r="G310">
        <v>22</v>
      </c>
      <c r="H310">
        <v>3</v>
      </c>
      <c r="I310">
        <v>2.4</v>
      </c>
      <c r="J310">
        <v>3</v>
      </c>
      <c r="K310">
        <v>2.4</v>
      </c>
      <c r="L310">
        <v>91.9</v>
      </c>
      <c r="M310">
        <v>-17.2</v>
      </c>
      <c r="N310" t="s">
        <v>422</v>
      </c>
      <c r="O310">
        <v>-9.1</v>
      </c>
      <c r="P310" t="s">
        <v>427</v>
      </c>
      <c r="Q310">
        <v>51</v>
      </c>
      <c r="R310" t="s">
        <v>182</v>
      </c>
    </row>
    <row r="311" spans="1:18" x14ac:dyDescent="0.2">
      <c r="A311" t="s">
        <v>108</v>
      </c>
      <c r="B311">
        <v>2024</v>
      </c>
      <c r="C311">
        <v>9</v>
      </c>
      <c r="D311" t="s">
        <v>556</v>
      </c>
      <c r="E311" t="s">
        <v>557</v>
      </c>
      <c r="F311" t="s">
        <v>44</v>
      </c>
      <c r="G311">
        <v>65</v>
      </c>
      <c r="H311" t="s">
        <v>558</v>
      </c>
      <c r="I311" t="s">
        <v>559</v>
      </c>
      <c r="J311" t="s">
        <v>558</v>
      </c>
      <c r="K311" t="s">
        <v>559</v>
      </c>
      <c r="L311" t="s">
        <v>560</v>
      </c>
      <c r="M311" s="35" t="s">
        <v>561</v>
      </c>
      <c r="N311" t="s">
        <v>422</v>
      </c>
      <c r="O311" s="35" t="s">
        <v>562</v>
      </c>
      <c r="P311" t="s">
        <v>427</v>
      </c>
      <c r="Q311">
        <v>13.83</v>
      </c>
      <c r="R311" t="s">
        <v>182</v>
      </c>
    </row>
    <row r="312" spans="1:18" x14ac:dyDescent="0.2">
      <c r="A312" t="s">
        <v>59</v>
      </c>
      <c r="B312">
        <v>2024</v>
      </c>
      <c r="C312">
        <v>9</v>
      </c>
      <c r="D312" t="s">
        <v>270</v>
      </c>
      <c r="E312" t="s">
        <v>563</v>
      </c>
      <c r="F312" t="s">
        <v>44</v>
      </c>
      <c r="G312">
        <v>65</v>
      </c>
      <c r="H312" t="s">
        <v>558</v>
      </c>
      <c r="I312" t="s">
        <v>564</v>
      </c>
      <c r="J312" t="s">
        <v>558</v>
      </c>
      <c r="K312" t="s">
        <v>564</v>
      </c>
      <c r="L312" t="s">
        <v>565</v>
      </c>
      <c r="M312" t="s">
        <v>427</v>
      </c>
      <c r="N312" t="s">
        <v>427</v>
      </c>
      <c r="O312" s="35" t="s">
        <v>566</v>
      </c>
      <c r="P312" t="s">
        <v>427</v>
      </c>
      <c r="Q312">
        <v>14.41</v>
      </c>
      <c r="R312" t="s">
        <v>182</v>
      </c>
    </row>
    <row r="313" spans="1:18" x14ac:dyDescent="0.2">
      <c r="A313" t="s">
        <v>59</v>
      </c>
      <c r="B313">
        <v>2024</v>
      </c>
      <c r="C313">
        <v>9</v>
      </c>
      <c r="D313" t="s">
        <v>567</v>
      </c>
      <c r="E313" t="s">
        <v>568</v>
      </c>
      <c r="F313" t="s">
        <v>44</v>
      </c>
      <c r="G313">
        <v>65</v>
      </c>
      <c r="H313">
        <v>60</v>
      </c>
      <c r="I313">
        <v>11.6</v>
      </c>
      <c r="J313">
        <v>60</v>
      </c>
      <c r="K313">
        <v>11.6</v>
      </c>
      <c r="L313">
        <v>80</v>
      </c>
      <c r="M313" t="s">
        <v>427</v>
      </c>
      <c r="N313" t="s">
        <v>427</v>
      </c>
      <c r="O313" t="s">
        <v>427</v>
      </c>
      <c r="P313" t="s">
        <v>427</v>
      </c>
      <c r="Q313">
        <v>731.3</v>
      </c>
      <c r="R313" t="s">
        <v>182</v>
      </c>
    </row>
    <row r="314" spans="1:18" x14ac:dyDescent="0.2">
      <c r="A314" t="s">
        <v>59</v>
      </c>
      <c r="B314">
        <v>2024</v>
      </c>
      <c r="C314">
        <v>9</v>
      </c>
      <c r="D314" t="s">
        <v>137</v>
      </c>
      <c r="E314" t="s">
        <v>569</v>
      </c>
      <c r="F314" t="s">
        <v>44</v>
      </c>
      <c r="G314">
        <v>65</v>
      </c>
      <c r="H314" s="32" t="s">
        <v>570</v>
      </c>
      <c r="I314" t="s">
        <v>571</v>
      </c>
      <c r="J314" s="32" t="s">
        <v>570</v>
      </c>
      <c r="K314" t="s">
        <v>571</v>
      </c>
      <c r="L314" t="s">
        <v>572</v>
      </c>
      <c r="M314" s="35" t="s">
        <v>573</v>
      </c>
      <c r="N314" t="s">
        <v>422</v>
      </c>
      <c r="O314" s="35" t="s">
        <v>574</v>
      </c>
      <c r="P314" t="s">
        <v>575</v>
      </c>
      <c r="Q314">
        <v>11.9</v>
      </c>
    </row>
    <row r="315" spans="1:18" x14ac:dyDescent="0.2">
      <c r="A315" t="s">
        <v>45</v>
      </c>
      <c r="B315">
        <v>2024</v>
      </c>
      <c r="C315">
        <v>8</v>
      </c>
      <c r="D315" t="s">
        <v>264</v>
      </c>
      <c r="E315" t="s">
        <v>576</v>
      </c>
      <c r="F315" t="s">
        <v>44</v>
      </c>
      <c r="G315">
        <v>40</v>
      </c>
      <c r="H315">
        <v>73</v>
      </c>
      <c r="I315">
        <v>4.8</v>
      </c>
      <c r="J315">
        <v>73</v>
      </c>
      <c r="K315">
        <v>4.8</v>
      </c>
      <c r="L315">
        <v>16</v>
      </c>
      <c r="M315">
        <v>-8.5</v>
      </c>
      <c r="N315" t="s">
        <v>422</v>
      </c>
      <c r="O315">
        <v>-0.7</v>
      </c>
      <c r="P315">
        <v>16</v>
      </c>
      <c r="Q315">
        <v>25</v>
      </c>
      <c r="R315" t="s">
        <v>460</v>
      </c>
    </row>
    <row r="316" spans="1:18" x14ac:dyDescent="0.2">
      <c r="A316" t="s">
        <v>59</v>
      </c>
      <c r="B316">
        <v>2024</v>
      </c>
      <c r="C316">
        <v>8</v>
      </c>
      <c r="D316" t="s">
        <v>72</v>
      </c>
      <c r="E316" t="s">
        <v>577</v>
      </c>
      <c r="F316" t="s">
        <v>44</v>
      </c>
      <c r="G316">
        <v>65</v>
      </c>
      <c r="H316">
        <v>1.5</v>
      </c>
      <c r="I316">
        <v>1.8</v>
      </c>
      <c r="J316">
        <v>2.2000000000000002</v>
      </c>
      <c r="K316">
        <v>1.9</v>
      </c>
      <c r="L316">
        <v>19</v>
      </c>
      <c r="M316">
        <v>-13.5</v>
      </c>
      <c r="N316" t="s">
        <v>422</v>
      </c>
      <c r="O316">
        <v>-2.5</v>
      </c>
      <c r="P316">
        <v>4.2</v>
      </c>
      <c r="Q316">
        <v>7.6</v>
      </c>
    </row>
    <row r="317" spans="1:18" x14ac:dyDescent="0.2">
      <c r="A317" t="s">
        <v>59</v>
      </c>
      <c r="B317">
        <v>2024</v>
      </c>
      <c r="C317">
        <v>7</v>
      </c>
      <c r="D317" t="s">
        <v>578</v>
      </c>
      <c r="E317" t="s">
        <v>579</v>
      </c>
      <c r="F317" t="s">
        <v>55</v>
      </c>
      <c r="G317">
        <v>90</v>
      </c>
      <c r="H317">
        <v>17</v>
      </c>
      <c r="I317" t="s">
        <v>580</v>
      </c>
      <c r="J317">
        <v>35</v>
      </c>
      <c r="K317">
        <v>3.5</v>
      </c>
      <c r="L317" t="s">
        <v>581</v>
      </c>
      <c r="M317" s="35" t="s">
        <v>582</v>
      </c>
      <c r="N317" t="s">
        <v>422</v>
      </c>
      <c r="O317" t="s">
        <v>427</v>
      </c>
      <c r="P317" t="s">
        <v>427</v>
      </c>
      <c r="Q317" t="s">
        <v>583</v>
      </c>
      <c r="R317" t="s">
        <v>584</v>
      </c>
    </row>
    <row r="318" spans="1:18" x14ac:dyDescent="0.2">
      <c r="A318" t="s">
        <v>115</v>
      </c>
      <c r="B318">
        <v>2024</v>
      </c>
      <c r="C318">
        <v>11</v>
      </c>
      <c r="D318" t="s">
        <v>585</v>
      </c>
      <c r="E318" t="s">
        <v>586</v>
      </c>
      <c r="F318" t="s">
        <v>44</v>
      </c>
      <c r="G318">
        <v>130</v>
      </c>
      <c r="H318">
        <v>13</v>
      </c>
      <c r="I318">
        <v>0.95</v>
      </c>
      <c r="J318">
        <v>11.8</v>
      </c>
      <c r="K318">
        <v>1.1000000000000001</v>
      </c>
      <c r="L318">
        <v>18.399999999999999</v>
      </c>
      <c r="M318">
        <v>-14.5</v>
      </c>
      <c r="N318" t="s">
        <v>587</v>
      </c>
      <c r="O318">
        <v>-3</v>
      </c>
      <c r="P318">
        <v>4</v>
      </c>
      <c r="Q318">
        <v>10.67</v>
      </c>
    </row>
    <row r="319" spans="1:18" x14ac:dyDescent="0.2">
      <c r="A319" t="s">
        <v>115</v>
      </c>
      <c r="B319">
        <v>2024</v>
      </c>
      <c r="C319">
        <v>11</v>
      </c>
      <c r="D319" t="s">
        <v>588</v>
      </c>
      <c r="E319" t="s">
        <v>589</v>
      </c>
      <c r="F319" t="s">
        <v>55</v>
      </c>
      <c r="G319">
        <v>130</v>
      </c>
      <c r="H319">
        <v>80</v>
      </c>
      <c r="I319">
        <v>3.9</v>
      </c>
      <c r="J319">
        <v>94</v>
      </c>
      <c r="K319">
        <v>4.5999999999999996</v>
      </c>
      <c r="L319">
        <v>23</v>
      </c>
      <c r="M319" t="s">
        <v>427</v>
      </c>
      <c r="N319" t="s">
        <v>427</v>
      </c>
      <c r="O319" t="s">
        <v>427</v>
      </c>
      <c r="P319">
        <v>40</v>
      </c>
      <c r="Q319">
        <v>12.4</v>
      </c>
      <c r="R319" t="s">
        <v>91</v>
      </c>
    </row>
    <row r="320" spans="1:18" x14ac:dyDescent="0.2">
      <c r="A320" t="s">
        <v>115</v>
      </c>
      <c r="B320">
        <v>2024</v>
      </c>
      <c r="C320">
        <v>11</v>
      </c>
      <c r="D320" t="s">
        <v>360</v>
      </c>
      <c r="E320" t="s">
        <v>590</v>
      </c>
      <c r="F320" t="s">
        <v>44</v>
      </c>
      <c r="G320">
        <v>65</v>
      </c>
      <c r="H320">
        <v>132</v>
      </c>
      <c r="I320">
        <v>8.1999999999999993</v>
      </c>
      <c r="J320">
        <v>140</v>
      </c>
      <c r="K320">
        <v>10</v>
      </c>
      <c r="L320">
        <v>22</v>
      </c>
      <c r="M320">
        <v>-27</v>
      </c>
      <c r="N320" t="s">
        <v>422</v>
      </c>
      <c r="O320" t="s">
        <v>427</v>
      </c>
      <c r="P320" t="s">
        <v>427</v>
      </c>
      <c r="Q320">
        <v>17.3</v>
      </c>
    </row>
    <row r="321" spans="1:18" x14ac:dyDescent="0.2">
      <c r="A321" t="s">
        <v>115</v>
      </c>
      <c r="B321">
        <v>2024</v>
      </c>
      <c r="C321">
        <v>11</v>
      </c>
      <c r="D321" t="s">
        <v>508</v>
      </c>
      <c r="E321" t="s">
        <v>591</v>
      </c>
      <c r="F321" t="s">
        <v>481</v>
      </c>
      <c r="G321">
        <v>130</v>
      </c>
      <c r="H321">
        <v>285</v>
      </c>
      <c r="I321">
        <v>10.5</v>
      </c>
      <c r="J321">
        <v>285</v>
      </c>
      <c r="K321">
        <v>10.5</v>
      </c>
      <c r="L321">
        <v>17.100000000000001</v>
      </c>
      <c r="M321">
        <v>-0.5</v>
      </c>
      <c r="N321" t="s">
        <v>453</v>
      </c>
      <c r="O321" t="s">
        <v>427</v>
      </c>
      <c r="P321">
        <v>56</v>
      </c>
      <c r="Q321">
        <v>119.04</v>
      </c>
      <c r="R321" t="s">
        <v>592</v>
      </c>
    </row>
    <row r="322" spans="1:18" x14ac:dyDescent="0.2">
      <c r="A322" t="s">
        <v>115</v>
      </c>
      <c r="B322">
        <v>2024</v>
      </c>
      <c r="C322">
        <v>11</v>
      </c>
      <c r="D322" t="s">
        <v>373</v>
      </c>
      <c r="E322" t="s">
        <v>593</v>
      </c>
      <c r="F322" t="s">
        <v>44</v>
      </c>
      <c r="G322">
        <v>40</v>
      </c>
      <c r="H322">
        <v>146</v>
      </c>
      <c r="I322">
        <v>13.3</v>
      </c>
      <c r="J322">
        <v>140</v>
      </c>
      <c r="K322">
        <v>13.4</v>
      </c>
      <c r="L322">
        <v>19.100000000000001</v>
      </c>
      <c r="M322">
        <v>-23</v>
      </c>
      <c r="N322" t="s">
        <v>422</v>
      </c>
      <c r="O322" t="s">
        <v>427</v>
      </c>
      <c r="P322">
        <v>15</v>
      </c>
      <c r="Q322">
        <v>75.099999999999994</v>
      </c>
      <c r="R322" t="s">
        <v>594</v>
      </c>
    </row>
    <row r="323" spans="1:18" x14ac:dyDescent="0.2">
      <c r="A323" t="s">
        <v>115</v>
      </c>
      <c r="B323">
        <v>2024</v>
      </c>
      <c r="C323">
        <v>11</v>
      </c>
      <c r="D323" t="s">
        <v>595</v>
      </c>
      <c r="E323" t="s">
        <v>596</v>
      </c>
      <c r="F323" t="s">
        <v>44</v>
      </c>
      <c r="G323">
        <v>65</v>
      </c>
      <c r="H323">
        <v>2.5</v>
      </c>
      <c r="I323">
        <v>5.2</v>
      </c>
      <c r="J323">
        <v>2.5</v>
      </c>
      <c r="K323">
        <v>5.2</v>
      </c>
      <c r="L323">
        <v>7</v>
      </c>
      <c r="M323" t="s">
        <v>427</v>
      </c>
      <c r="N323" t="s">
        <v>427</v>
      </c>
      <c r="O323" t="s">
        <v>427</v>
      </c>
      <c r="P323" t="s">
        <v>427</v>
      </c>
      <c r="Q323">
        <v>15.72</v>
      </c>
      <c r="R323" t="s">
        <v>597</v>
      </c>
    </row>
    <row r="324" spans="1:18" x14ac:dyDescent="0.2">
      <c r="A324" t="s">
        <v>115</v>
      </c>
      <c r="B324">
        <v>2024</v>
      </c>
      <c r="C324">
        <v>11</v>
      </c>
      <c r="D324" t="s">
        <v>553</v>
      </c>
      <c r="E324" t="s">
        <v>598</v>
      </c>
      <c r="F324" t="s">
        <v>44</v>
      </c>
      <c r="G324">
        <v>28</v>
      </c>
      <c r="H324">
        <v>50</v>
      </c>
      <c r="I324">
        <v>4.8</v>
      </c>
      <c r="J324">
        <v>50</v>
      </c>
      <c r="K324">
        <v>4.8</v>
      </c>
      <c r="L324">
        <v>17</v>
      </c>
      <c r="M324">
        <v>-18</v>
      </c>
      <c r="N324" t="s">
        <v>422</v>
      </c>
      <c r="O324" t="s">
        <v>427</v>
      </c>
      <c r="P324">
        <v>17</v>
      </c>
      <c r="Q324">
        <v>23</v>
      </c>
      <c r="R324" t="s">
        <v>599</v>
      </c>
    </row>
    <row r="325" spans="1:18" x14ac:dyDescent="0.2">
      <c r="A325" t="s">
        <v>115</v>
      </c>
      <c r="B325">
        <v>2024</v>
      </c>
      <c r="C325">
        <v>11</v>
      </c>
      <c r="D325" t="s">
        <v>600</v>
      </c>
      <c r="E325" t="s">
        <v>601</v>
      </c>
      <c r="F325" t="s">
        <v>602</v>
      </c>
      <c r="G325">
        <v>55</v>
      </c>
      <c r="H325">
        <v>11.2</v>
      </c>
      <c r="I325">
        <v>1.7</v>
      </c>
      <c r="J325">
        <v>11.2</v>
      </c>
      <c r="K325">
        <v>1.7</v>
      </c>
      <c r="L325">
        <v>25</v>
      </c>
      <c r="M325">
        <v>-29</v>
      </c>
      <c r="N325" t="s">
        <v>422</v>
      </c>
      <c r="O325" t="s">
        <v>427</v>
      </c>
      <c r="P325">
        <v>2</v>
      </c>
      <c r="Q325">
        <v>24</v>
      </c>
      <c r="R325" t="s">
        <v>91</v>
      </c>
    </row>
    <row r="326" spans="1:18" x14ac:dyDescent="0.2">
      <c r="A326" t="s">
        <v>115</v>
      </c>
      <c r="B326">
        <v>2024</v>
      </c>
      <c r="C326">
        <v>11</v>
      </c>
      <c r="D326" t="s">
        <v>137</v>
      </c>
      <c r="E326" t="s">
        <v>603</v>
      </c>
      <c r="F326" t="s">
        <v>44</v>
      </c>
      <c r="G326">
        <v>45</v>
      </c>
      <c r="H326">
        <v>2.5</v>
      </c>
      <c r="I326">
        <v>3.3</v>
      </c>
      <c r="J326">
        <v>4.5</v>
      </c>
      <c r="K326">
        <v>5</v>
      </c>
      <c r="L326">
        <v>45</v>
      </c>
      <c r="M326" t="s">
        <v>427</v>
      </c>
      <c r="N326" t="s">
        <v>427</v>
      </c>
      <c r="O326" s="35" t="s">
        <v>604</v>
      </c>
      <c r="P326">
        <v>0.44</v>
      </c>
      <c r="Q326">
        <v>90</v>
      </c>
      <c r="R326" t="s">
        <v>605</v>
      </c>
    </row>
    <row r="327" spans="1:18" x14ac:dyDescent="0.2">
      <c r="A327" t="s">
        <v>115</v>
      </c>
      <c r="B327">
        <v>2024</v>
      </c>
      <c r="C327">
        <v>11</v>
      </c>
      <c r="D327" t="s">
        <v>487</v>
      </c>
      <c r="E327" t="s">
        <v>606</v>
      </c>
      <c r="F327" t="s">
        <v>44</v>
      </c>
      <c r="G327">
        <v>40</v>
      </c>
      <c r="H327" t="s">
        <v>607</v>
      </c>
      <c r="I327" t="s">
        <v>608</v>
      </c>
      <c r="J327" t="s">
        <v>607</v>
      </c>
      <c r="K327" t="s">
        <v>608</v>
      </c>
      <c r="L327" t="s">
        <v>609</v>
      </c>
      <c r="M327" t="s">
        <v>610</v>
      </c>
      <c r="N327" t="s">
        <v>422</v>
      </c>
      <c r="O327" t="s">
        <v>611</v>
      </c>
      <c r="P327" t="s">
        <v>612</v>
      </c>
      <c r="Q327">
        <v>8.1999999999999993</v>
      </c>
      <c r="R327" t="s">
        <v>613</v>
      </c>
    </row>
    <row r="328" spans="1:18" x14ac:dyDescent="0.2">
      <c r="A328" t="s">
        <v>59</v>
      </c>
      <c r="B328">
        <v>2024</v>
      </c>
      <c r="C328">
        <v>12</v>
      </c>
      <c r="D328" t="s">
        <v>97</v>
      </c>
      <c r="E328" t="s">
        <v>614</v>
      </c>
      <c r="F328" t="s">
        <v>44</v>
      </c>
      <c r="G328">
        <v>65</v>
      </c>
      <c r="H328">
        <v>20</v>
      </c>
      <c r="I328">
        <v>5.9</v>
      </c>
      <c r="J328">
        <v>40</v>
      </c>
      <c r="K328">
        <v>7</v>
      </c>
      <c r="L328">
        <v>13.9</v>
      </c>
      <c r="M328">
        <v>5</v>
      </c>
      <c r="N328" t="s">
        <v>453</v>
      </c>
      <c r="O328" t="s">
        <v>427</v>
      </c>
      <c r="P328">
        <v>75</v>
      </c>
      <c r="Q328">
        <v>86.4</v>
      </c>
    </row>
    <row r="329" spans="1:18" x14ac:dyDescent="0.2">
      <c r="A329" t="s">
        <v>59</v>
      </c>
      <c r="B329">
        <v>2024</v>
      </c>
      <c r="C329">
        <v>12</v>
      </c>
      <c r="D329" t="s">
        <v>615</v>
      </c>
      <c r="E329" t="s">
        <v>616</v>
      </c>
      <c r="F329" t="s">
        <v>51</v>
      </c>
      <c r="G329">
        <v>22</v>
      </c>
      <c r="H329" t="s">
        <v>617</v>
      </c>
      <c r="I329" t="s">
        <v>618</v>
      </c>
      <c r="J329" t="s">
        <v>619</v>
      </c>
      <c r="K329" t="s">
        <v>620</v>
      </c>
      <c r="L329" t="s">
        <v>621</v>
      </c>
      <c r="M329" t="s">
        <v>622</v>
      </c>
      <c r="N329" t="s">
        <v>453</v>
      </c>
      <c r="O329" t="s">
        <v>427</v>
      </c>
      <c r="P329" s="36" t="s">
        <v>623</v>
      </c>
      <c r="Q329">
        <v>35</v>
      </c>
    </row>
    <row r="330" spans="1:18" x14ac:dyDescent="0.2">
      <c r="A330" t="s">
        <v>45</v>
      </c>
      <c r="B330">
        <v>2024</v>
      </c>
      <c r="C330">
        <v>12</v>
      </c>
      <c r="D330" t="s">
        <v>60</v>
      </c>
      <c r="E330" t="s">
        <v>624</v>
      </c>
      <c r="F330" t="s">
        <v>44</v>
      </c>
      <c r="G330">
        <v>110</v>
      </c>
      <c r="H330">
        <v>6.8</v>
      </c>
      <c r="I330">
        <v>2.8</v>
      </c>
      <c r="J330">
        <v>6.8</v>
      </c>
      <c r="K330">
        <v>2.8</v>
      </c>
      <c r="L330">
        <v>13.6</v>
      </c>
      <c r="M330">
        <v>-18</v>
      </c>
      <c r="N330" t="s">
        <v>422</v>
      </c>
      <c r="O330">
        <v>-5.2</v>
      </c>
      <c r="P330">
        <v>1.4</v>
      </c>
      <c r="Q330">
        <v>1.2</v>
      </c>
    </row>
    <row r="331" spans="1:18" x14ac:dyDescent="0.2">
      <c r="A331" s="30" t="s">
        <v>108</v>
      </c>
      <c r="B331">
        <v>2024</v>
      </c>
      <c r="C331">
        <v>11</v>
      </c>
      <c r="D331" t="s">
        <v>151</v>
      </c>
      <c r="E331" t="s">
        <v>625</v>
      </c>
      <c r="F331" t="s">
        <v>44</v>
      </c>
      <c r="G331">
        <v>65</v>
      </c>
      <c r="H331" t="s">
        <v>626</v>
      </c>
      <c r="I331" t="s">
        <v>627</v>
      </c>
      <c r="J331" t="s">
        <v>626</v>
      </c>
      <c r="K331" t="s">
        <v>627</v>
      </c>
      <c r="L331" t="s">
        <v>628</v>
      </c>
      <c r="M331" t="s">
        <v>427</v>
      </c>
      <c r="N331" t="s">
        <v>427</v>
      </c>
      <c r="O331" s="35" t="s">
        <v>629</v>
      </c>
      <c r="P331" t="s">
        <v>630</v>
      </c>
      <c r="Q331">
        <v>23.1</v>
      </c>
    </row>
    <row r="332" spans="1:18" ht="16" x14ac:dyDescent="0.2">
      <c r="A332" t="s">
        <v>198</v>
      </c>
      <c r="B332">
        <v>2024</v>
      </c>
      <c r="C332">
        <v>11</v>
      </c>
      <c r="D332" t="s">
        <v>631</v>
      </c>
      <c r="E332" s="31" t="s">
        <v>632</v>
      </c>
      <c r="F332" t="s">
        <v>44</v>
      </c>
      <c r="G332">
        <v>40</v>
      </c>
      <c r="H332">
        <v>129</v>
      </c>
      <c r="I332">
        <v>4.7</v>
      </c>
      <c r="J332">
        <v>120</v>
      </c>
      <c r="K332">
        <v>5.5</v>
      </c>
      <c r="L332">
        <v>27.5</v>
      </c>
      <c r="M332">
        <v>-29.5</v>
      </c>
      <c r="N332" t="s">
        <v>422</v>
      </c>
      <c r="O332">
        <v>-22</v>
      </c>
      <c r="P332">
        <v>11</v>
      </c>
      <c r="Q332">
        <v>27.4</v>
      </c>
      <c r="R332" t="s">
        <v>460</v>
      </c>
    </row>
    <row r="333" spans="1:18" x14ac:dyDescent="0.2">
      <c r="A333" t="s">
        <v>124</v>
      </c>
      <c r="B333">
        <v>2024</v>
      </c>
      <c r="C333">
        <v>10</v>
      </c>
      <c r="D333" t="s">
        <v>633</v>
      </c>
      <c r="E333" t="s">
        <v>634</v>
      </c>
      <c r="F333" t="s">
        <v>55</v>
      </c>
      <c r="G333">
        <v>130</v>
      </c>
      <c r="H333">
        <v>25</v>
      </c>
      <c r="I333">
        <v>3.1</v>
      </c>
      <c r="J333">
        <v>30</v>
      </c>
      <c r="K333">
        <v>3.3</v>
      </c>
      <c r="L333">
        <v>11.2</v>
      </c>
      <c r="M333">
        <v>-1.8</v>
      </c>
      <c r="N333" t="s">
        <v>453</v>
      </c>
      <c r="O333" t="s">
        <v>427</v>
      </c>
      <c r="P333">
        <v>62</v>
      </c>
      <c r="Q333">
        <v>7.7</v>
      </c>
    </row>
    <row r="334" spans="1:18" x14ac:dyDescent="0.2">
      <c r="A334" t="s">
        <v>124</v>
      </c>
      <c r="B334">
        <v>2024</v>
      </c>
      <c r="C334">
        <v>10</v>
      </c>
      <c r="D334" t="s">
        <v>635</v>
      </c>
      <c r="E334" t="s">
        <v>636</v>
      </c>
      <c r="F334" t="s">
        <v>55</v>
      </c>
      <c r="G334">
        <v>55</v>
      </c>
      <c r="H334">
        <v>150</v>
      </c>
      <c r="I334">
        <v>5.2</v>
      </c>
      <c r="J334">
        <v>170</v>
      </c>
      <c r="K334">
        <v>5.5</v>
      </c>
      <c r="L334">
        <v>17.5</v>
      </c>
      <c r="M334">
        <v>4.2</v>
      </c>
      <c r="N334" t="s">
        <v>426</v>
      </c>
      <c r="O334" t="s">
        <v>427</v>
      </c>
      <c r="P334" t="s">
        <v>637</v>
      </c>
      <c r="Q334">
        <v>20</v>
      </c>
    </row>
    <row r="335" spans="1:18" x14ac:dyDescent="0.2">
      <c r="A335" t="s">
        <v>124</v>
      </c>
      <c r="B335">
        <v>2024</v>
      </c>
      <c r="C335">
        <v>10</v>
      </c>
      <c r="D335" t="s">
        <v>151</v>
      </c>
      <c r="E335" t="s">
        <v>638</v>
      </c>
      <c r="F335" t="s">
        <v>639</v>
      </c>
      <c r="G335">
        <v>45</v>
      </c>
      <c r="H335">
        <v>144</v>
      </c>
      <c r="I335">
        <v>4.5</v>
      </c>
      <c r="J335">
        <v>140</v>
      </c>
      <c r="K335">
        <v>5.8</v>
      </c>
      <c r="L335">
        <v>10</v>
      </c>
      <c r="M335" t="s">
        <v>427</v>
      </c>
      <c r="N335" t="s">
        <v>427</v>
      </c>
      <c r="O335" t="s">
        <v>427</v>
      </c>
      <c r="P335">
        <v>29</v>
      </c>
      <c r="Q335">
        <v>12</v>
      </c>
    </row>
    <row r="336" spans="1:18" x14ac:dyDescent="0.2">
      <c r="A336" t="s">
        <v>124</v>
      </c>
      <c r="B336">
        <v>2024</v>
      </c>
      <c r="C336">
        <v>10</v>
      </c>
      <c r="D336" t="s">
        <v>640</v>
      </c>
      <c r="E336" t="s">
        <v>641</v>
      </c>
      <c r="F336" t="s">
        <v>55</v>
      </c>
      <c r="G336">
        <v>45</v>
      </c>
      <c r="H336" t="s">
        <v>642</v>
      </c>
      <c r="I336" t="s">
        <v>643</v>
      </c>
      <c r="J336" t="s">
        <v>642</v>
      </c>
      <c r="K336" t="s">
        <v>643</v>
      </c>
      <c r="L336" t="s">
        <v>644</v>
      </c>
      <c r="M336" t="s">
        <v>427</v>
      </c>
      <c r="N336" t="s">
        <v>427</v>
      </c>
      <c r="O336" s="35" t="s">
        <v>645</v>
      </c>
      <c r="P336" t="s">
        <v>646</v>
      </c>
      <c r="Q336" t="s">
        <v>647</v>
      </c>
    </row>
    <row r="337" spans="1:18" x14ac:dyDescent="0.2">
      <c r="A337" t="s">
        <v>124</v>
      </c>
      <c r="B337">
        <v>2024</v>
      </c>
      <c r="C337">
        <v>10</v>
      </c>
      <c r="D337" t="s">
        <v>648</v>
      </c>
      <c r="E337" t="s">
        <v>649</v>
      </c>
      <c r="F337" t="s">
        <v>44</v>
      </c>
      <c r="G337">
        <v>28</v>
      </c>
      <c r="H337">
        <v>118</v>
      </c>
      <c r="I337">
        <v>5.6</v>
      </c>
      <c r="J337">
        <v>120</v>
      </c>
      <c r="K337">
        <v>6</v>
      </c>
      <c r="L337">
        <v>12</v>
      </c>
      <c r="M337">
        <v>-17.3</v>
      </c>
      <c r="N337" t="s">
        <v>422</v>
      </c>
      <c r="O337" t="s">
        <v>427</v>
      </c>
      <c r="P337">
        <v>15</v>
      </c>
      <c r="Q337">
        <v>25.2</v>
      </c>
      <c r="R337" t="s">
        <v>650</v>
      </c>
    </row>
    <row r="338" spans="1:18" x14ac:dyDescent="0.2">
      <c r="A338" t="s">
        <v>335</v>
      </c>
      <c r="B338">
        <v>2024</v>
      </c>
      <c r="C338">
        <v>9</v>
      </c>
      <c r="D338" t="s">
        <v>151</v>
      </c>
      <c r="E338" t="s">
        <v>651</v>
      </c>
      <c r="F338" t="s">
        <v>44</v>
      </c>
      <c r="G338">
        <v>90</v>
      </c>
      <c r="H338">
        <v>24</v>
      </c>
      <c r="I338">
        <v>2.2999999999999998</v>
      </c>
      <c r="J338">
        <v>28</v>
      </c>
      <c r="K338">
        <v>2.4</v>
      </c>
      <c r="L338">
        <v>12</v>
      </c>
      <c r="M338">
        <v>-12</v>
      </c>
      <c r="N338" t="s">
        <v>422</v>
      </c>
      <c r="O338">
        <v>-1.6</v>
      </c>
      <c r="P338" t="s">
        <v>427</v>
      </c>
      <c r="Q338">
        <v>11.7</v>
      </c>
    </row>
    <row r="339" spans="1:18" x14ac:dyDescent="0.2">
      <c r="A339" t="s">
        <v>335</v>
      </c>
      <c r="B339">
        <v>2024</v>
      </c>
      <c r="C339">
        <v>9</v>
      </c>
      <c r="D339" t="s">
        <v>652</v>
      </c>
      <c r="E339" t="s">
        <v>653</v>
      </c>
      <c r="F339" t="s">
        <v>55</v>
      </c>
      <c r="G339">
        <v>90</v>
      </c>
      <c r="H339" t="s">
        <v>654</v>
      </c>
      <c r="I339" t="s">
        <v>655</v>
      </c>
      <c r="J339" t="s">
        <v>656</v>
      </c>
      <c r="K339" t="s">
        <v>657</v>
      </c>
      <c r="L339" t="s">
        <v>658</v>
      </c>
      <c r="M339" s="35" t="s">
        <v>659</v>
      </c>
      <c r="N339" t="s">
        <v>422</v>
      </c>
      <c r="O339" t="s">
        <v>427</v>
      </c>
      <c r="P339" t="s">
        <v>660</v>
      </c>
      <c r="Q339" t="s">
        <v>661</v>
      </c>
      <c r="R339" t="s">
        <v>662</v>
      </c>
    </row>
    <row r="340" spans="1:18" x14ac:dyDescent="0.2">
      <c r="A340" t="s">
        <v>335</v>
      </c>
      <c r="B340">
        <v>2024</v>
      </c>
      <c r="C340">
        <v>9</v>
      </c>
      <c r="D340" t="s">
        <v>63</v>
      </c>
      <c r="E340" t="s">
        <v>663</v>
      </c>
      <c r="F340" t="s">
        <v>44</v>
      </c>
      <c r="G340">
        <v>40</v>
      </c>
      <c r="H340">
        <v>123</v>
      </c>
      <c r="I340">
        <v>9.5</v>
      </c>
      <c r="J340">
        <v>120</v>
      </c>
      <c r="K340">
        <v>10</v>
      </c>
      <c r="L340">
        <v>48</v>
      </c>
      <c r="M340" t="s">
        <v>427</v>
      </c>
      <c r="N340" t="s">
        <v>427</v>
      </c>
      <c r="O340" t="s">
        <v>427</v>
      </c>
      <c r="P340">
        <v>7</v>
      </c>
      <c r="Q340">
        <v>46.3</v>
      </c>
      <c r="R340" t="s">
        <v>664</v>
      </c>
    </row>
    <row r="341" spans="1:18" x14ac:dyDescent="0.2">
      <c r="A341" t="s">
        <v>335</v>
      </c>
      <c r="B341">
        <v>2024</v>
      </c>
      <c r="C341">
        <v>9</v>
      </c>
      <c r="D341" t="s">
        <v>665</v>
      </c>
      <c r="E341" t="s">
        <v>666</v>
      </c>
      <c r="F341" t="s">
        <v>425</v>
      </c>
      <c r="G341">
        <v>45</v>
      </c>
      <c r="H341">
        <v>20</v>
      </c>
      <c r="I341" t="s">
        <v>667</v>
      </c>
      <c r="J341">
        <v>20</v>
      </c>
      <c r="K341" t="s">
        <v>667</v>
      </c>
      <c r="L341" t="s">
        <v>668</v>
      </c>
      <c r="M341" s="35" t="s">
        <v>669</v>
      </c>
      <c r="N341" t="s">
        <v>422</v>
      </c>
      <c r="O341" t="s">
        <v>670</v>
      </c>
      <c r="P341" t="s">
        <v>671</v>
      </c>
      <c r="Q341">
        <v>12.6</v>
      </c>
    </row>
    <row r="342" spans="1:18" x14ac:dyDescent="0.2">
      <c r="A342" t="s">
        <v>335</v>
      </c>
      <c r="B342">
        <v>2024</v>
      </c>
      <c r="C342">
        <v>9</v>
      </c>
      <c r="D342" t="s">
        <v>672</v>
      </c>
      <c r="E342" t="s">
        <v>673</v>
      </c>
      <c r="F342" t="s">
        <v>44</v>
      </c>
      <c r="G342">
        <v>65</v>
      </c>
      <c r="H342">
        <v>30</v>
      </c>
      <c r="I342">
        <v>3.1</v>
      </c>
      <c r="J342">
        <v>30</v>
      </c>
      <c r="K342">
        <v>3.1</v>
      </c>
      <c r="L342">
        <v>19</v>
      </c>
      <c r="M342">
        <v>-18.2</v>
      </c>
      <c r="N342" t="s">
        <v>422</v>
      </c>
      <c r="O342">
        <v>-2</v>
      </c>
      <c r="P342">
        <v>9</v>
      </c>
      <c r="Q342">
        <v>17.8</v>
      </c>
    </row>
    <row r="343" spans="1:18" x14ac:dyDescent="0.2">
      <c r="A343" t="s">
        <v>335</v>
      </c>
      <c r="B343">
        <v>2024</v>
      </c>
      <c r="C343">
        <v>9</v>
      </c>
      <c r="D343" t="s">
        <v>674</v>
      </c>
      <c r="E343" t="s">
        <v>675</v>
      </c>
      <c r="F343" t="s">
        <v>51</v>
      </c>
      <c r="G343">
        <v>22</v>
      </c>
      <c r="H343">
        <v>55</v>
      </c>
      <c r="I343" t="s">
        <v>676</v>
      </c>
      <c r="J343">
        <v>55</v>
      </c>
      <c r="K343" t="s">
        <v>676</v>
      </c>
      <c r="L343" t="s">
        <v>677</v>
      </c>
      <c r="M343" t="s">
        <v>427</v>
      </c>
      <c r="N343" t="s">
        <v>427</v>
      </c>
      <c r="O343" t="s">
        <v>427</v>
      </c>
      <c r="P343">
        <v>25</v>
      </c>
      <c r="Q343">
        <v>13.7</v>
      </c>
    </row>
    <row r="344" spans="1:18" x14ac:dyDescent="0.2">
      <c r="A344" t="s">
        <v>335</v>
      </c>
      <c r="B344">
        <v>2024</v>
      </c>
      <c r="C344">
        <v>9</v>
      </c>
      <c r="D344" t="s">
        <v>100</v>
      </c>
      <c r="E344" t="s">
        <v>678</v>
      </c>
      <c r="F344" t="s">
        <v>55</v>
      </c>
      <c r="G344">
        <v>130</v>
      </c>
      <c r="H344">
        <v>20</v>
      </c>
      <c r="I344">
        <v>2.7</v>
      </c>
      <c r="J344">
        <v>20</v>
      </c>
      <c r="K344">
        <v>2.7</v>
      </c>
      <c r="L344">
        <v>40</v>
      </c>
      <c r="M344" t="s">
        <v>427</v>
      </c>
      <c r="N344" t="s">
        <v>427</v>
      </c>
      <c r="O344" t="s">
        <v>427</v>
      </c>
      <c r="P344" t="s">
        <v>427</v>
      </c>
      <c r="Q344">
        <v>36</v>
      </c>
      <c r="R344" t="s">
        <v>679</v>
      </c>
    </row>
    <row r="345" spans="1:18" x14ac:dyDescent="0.2">
      <c r="A345" t="s">
        <v>198</v>
      </c>
      <c r="B345">
        <v>2024</v>
      </c>
      <c r="C345">
        <v>9</v>
      </c>
      <c r="D345" t="s">
        <v>248</v>
      </c>
      <c r="E345" t="s">
        <v>680</v>
      </c>
      <c r="F345" t="s">
        <v>51</v>
      </c>
      <c r="G345">
        <v>22</v>
      </c>
      <c r="H345">
        <v>60</v>
      </c>
      <c r="I345">
        <v>5</v>
      </c>
      <c r="J345">
        <v>60</v>
      </c>
      <c r="K345">
        <v>5</v>
      </c>
      <c r="L345">
        <v>24</v>
      </c>
      <c r="M345" t="s">
        <v>427</v>
      </c>
      <c r="N345" t="s">
        <v>427</v>
      </c>
      <c r="O345" t="s">
        <v>427</v>
      </c>
      <c r="P345">
        <v>7</v>
      </c>
      <c r="Q345">
        <v>15.3</v>
      </c>
      <c r="R345" t="s">
        <v>681</v>
      </c>
    </row>
    <row r="346" spans="1:18" x14ac:dyDescent="0.2">
      <c r="A346" t="s">
        <v>84</v>
      </c>
      <c r="B346">
        <v>2024</v>
      </c>
      <c r="C346">
        <v>9</v>
      </c>
      <c r="D346" t="s">
        <v>63</v>
      </c>
      <c r="E346" t="s">
        <v>682</v>
      </c>
      <c r="F346" t="s">
        <v>44</v>
      </c>
      <c r="G346">
        <v>180</v>
      </c>
      <c r="H346" s="32" t="s">
        <v>683</v>
      </c>
      <c r="I346" t="s">
        <v>684</v>
      </c>
      <c r="J346" s="32" t="s">
        <v>683</v>
      </c>
      <c r="K346" t="s">
        <v>684</v>
      </c>
      <c r="L346" t="s">
        <v>685</v>
      </c>
      <c r="M346" t="s">
        <v>686</v>
      </c>
      <c r="N346" t="s">
        <v>422</v>
      </c>
      <c r="O346" t="s">
        <v>687</v>
      </c>
      <c r="P346" t="s">
        <v>688</v>
      </c>
      <c r="Q346" t="s">
        <v>689</v>
      </c>
      <c r="R346" t="s">
        <v>690</v>
      </c>
    </row>
    <row r="347" spans="1:18" x14ac:dyDescent="0.2">
      <c r="A347" t="s">
        <v>198</v>
      </c>
      <c r="B347">
        <v>2024</v>
      </c>
      <c r="C347">
        <v>9</v>
      </c>
      <c r="D347" t="s">
        <v>544</v>
      </c>
      <c r="E347" t="s">
        <v>691</v>
      </c>
      <c r="F347" t="s">
        <v>55</v>
      </c>
      <c r="G347">
        <v>130</v>
      </c>
      <c r="H347">
        <v>195</v>
      </c>
      <c r="I347">
        <v>9</v>
      </c>
      <c r="J347">
        <v>195</v>
      </c>
      <c r="K347">
        <v>9</v>
      </c>
      <c r="L347">
        <v>18.100000000000001</v>
      </c>
      <c r="M347">
        <v>-19.5</v>
      </c>
      <c r="N347" t="s">
        <v>422</v>
      </c>
      <c r="O347" t="s">
        <v>427</v>
      </c>
      <c r="P347">
        <v>25</v>
      </c>
      <c r="Q347">
        <v>35</v>
      </c>
      <c r="R347" t="s">
        <v>692</v>
      </c>
    </row>
    <row r="348" spans="1:18" x14ac:dyDescent="0.2">
      <c r="A348" t="s">
        <v>45</v>
      </c>
      <c r="B348">
        <v>2024</v>
      </c>
      <c r="C348">
        <v>9</v>
      </c>
      <c r="D348" t="s">
        <v>693</v>
      </c>
      <c r="E348" t="s">
        <v>694</v>
      </c>
      <c r="F348" t="s">
        <v>51</v>
      </c>
      <c r="G348">
        <v>22</v>
      </c>
      <c r="H348">
        <v>6</v>
      </c>
      <c r="I348">
        <v>6</v>
      </c>
      <c r="J348">
        <v>8</v>
      </c>
      <c r="K348">
        <v>6.6</v>
      </c>
      <c r="L348">
        <v>51</v>
      </c>
      <c r="M348" t="s">
        <v>427</v>
      </c>
      <c r="N348" t="s">
        <v>427</v>
      </c>
      <c r="O348">
        <v>10.25</v>
      </c>
      <c r="P348">
        <v>0.25</v>
      </c>
      <c r="Q348">
        <v>7.6</v>
      </c>
      <c r="R348" t="s">
        <v>695</v>
      </c>
    </row>
    <row r="349" spans="1:18" x14ac:dyDescent="0.2">
      <c r="A349" t="s">
        <v>45</v>
      </c>
      <c r="B349">
        <v>2024</v>
      </c>
      <c r="C349">
        <v>8</v>
      </c>
      <c r="D349" t="s">
        <v>151</v>
      </c>
      <c r="E349" t="s">
        <v>696</v>
      </c>
      <c r="F349" t="s">
        <v>697</v>
      </c>
      <c r="G349">
        <v>14</v>
      </c>
      <c r="H349" t="s">
        <v>698</v>
      </c>
      <c r="I349" t="s">
        <v>699</v>
      </c>
      <c r="J349" t="s">
        <v>427</v>
      </c>
      <c r="K349" t="s">
        <v>427</v>
      </c>
      <c r="L349" t="s">
        <v>427</v>
      </c>
      <c r="M349" t="s">
        <v>700</v>
      </c>
      <c r="N349" t="s">
        <v>427</v>
      </c>
      <c r="O349" t="s">
        <v>427</v>
      </c>
      <c r="P349" t="s">
        <v>427</v>
      </c>
      <c r="Q349" t="s">
        <v>701</v>
      </c>
      <c r="R349" t="s">
        <v>702</v>
      </c>
    </row>
    <row r="350" spans="1:18" x14ac:dyDescent="0.2">
      <c r="A350" t="s">
        <v>198</v>
      </c>
      <c r="B350">
        <v>2024</v>
      </c>
      <c r="C350">
        <v>8</v>
      </c>
      <c r="D350" t="s">
        <v>42</v>
      </c>
      <c r="E350" t="s">
        <v>703</v>
      </c>
      <c r="F350" t="s">
        <v>51</v>
      </c>
      <c r="G350">
        <v>22</v>
      </c>
      <c r="H350" t="s">
        <v>704</v>
      </c>
      <c r="I350" t="s">
        <v>705</v>
      </c>
      <c r="J350" t="s">
        <v>706</v>
      </c>
      <c r="K350" t="s">
        <v>707</v>
      </c>
      <c r="L350" t="s">
        <v>708</v>
      </c>
      <c r="M350" s="35" t="s">
        <v>709</v>
      </c>
      <c r="N350" t="s">
        <v>422</v>
      </c>
      <c r="O350" t="s">
        <v>427</v>
      </c>
      <c r="P350" t="s">
        <v>710</v>
      </c>
      <c r="Q350" t="s">
        <v>711</v>
      </c>
    </row>
    <row r="351" spans="1:18" x14ac:dyDescent="0.2">
      <c r="A351" t="s">
        <v>45</v>
      </c>
      <c r="B351">
        <v>2024</v>
      </c>
      <c r="C351">
        <v>8</v>
      </c>
      <c r="D351" t="s">
        <v>712</v>
      </c>
      <c r="E351" t="s">
        <v>713</v>
      </c>
      <c r="F351" t="s">
        <v>44</v>
      </c>
      <c r="G351">
        <v>28</v>
      </c>
      <c r="H351">
        <v>136.19999999999999</v>
      </c>
      <c r="I351">
        <v>9.3000000000000007</v>
      </c>
      <c r="J351">
        <v>141</v>
      </c>
      <c r="K351">
        <v>9.3000000000000007</v>
      </c>
      <c r="L351">
        <v>25.5</v>
      </c>
      <c r="M351">
        <v>-37</v>
      </c>
      <c r="N351" t="s">
        <v>422</v>
      </c>
      <c r="O351" t="s">
        <v>427</v>
      </c>
      <c r="P351">
        <v>18</v>
      </c>
      <c r="Q351">
        <v>188</v>
      </c>
      <c r="R351" t="s">
        <v>714</v>
      </c>
    </row>
    <row r="352" spans="1:18" x14ac:dyDescent="0.2">
      <c r="A352" t="s">
        <v>56</v>
      </c>
      <c r="B352">
        <v>2024</v>
      </c>
      <c r="C352">
        <v>6</v>
      </c>
      <c r="D352" t="s">
        <v>715</v>
      </c>
      <c r="E352" t="s">
        <v>716</v>
      </c>
      <c r="F352" t="s">
        <v>51</v>
      </c>
      <c r="G352">
        <v>28</v>
      </c>
      <c r="H352" t="s">
        <v>717</v>
      </c>
      <c r="I352" t="s">
        <v>718</v>
      </c>
      <c r="J352" t="s">
        <v>719</v>
      </c>
      <c r="K352" t="s">
        <v>718</v>
      </c>
      <c r="L352" t="s">
        <v>720</v>
      </c>
      <c r="O352" t="s">
        <v>427</v>
      </c>
      <c r="P352" t="s">
        <v>721</v>
      </c>
      <c r="Q352" t="s">
        <v>722</v>
      </c>
      <c r="R352" t="s">
        <v>723</v>
      </c>
    </row>
    <row r="353" spans="1:18" x14ac:dyDescent="0.2">
      <c r="A353" t="s">
        <v>56</v>
      </c>
      <c r="B353">
        <v>2024</v>
      </c>
      <c r="C353">
        <v>6</v>
      </c>
      <c r="D353" t="s">
        <v>578</v>
      </c>
      <c r="E353" t="s">
        <v>724</v>
      </c>
      <c r="F353" t="s">
        <v>51</v>
      </c>
      <c r="G353">
        <v>22</v>
      </c>
      <c r="H353">
        <v>100</v>
      </c>
      <c r="I353">
        <v>6.5</v>
      </c>
      <c r="J353">
        <v>110</v>
      </c>
      <c r="K353">
        <v>7.2</v>
      </c>
      <c r="L353">
        <v>14.2</v>
      </c>
      <c r="M353">
        <v>1</v>
      </c>
      <c r="N353" t="s">
        <v>422</v>
      </c>
      <c r="O353" t="s">
        <v>427</v>
      </c>
      <c r="P353" t="s">
        <v>427</v>
      </c>
      <c r="Q353">
        <v>7.5</v>
      </c>
      <c r="R353" t="s">
        <v>692</v>
      </c>
    </row>
    <row r="354" spans="1:18" x14ac:dyDescent="0.2">
      <c r="A354" t="s">
        <v>56</v>
      </c>
      <c r="B354">
        <v>2024</v>
      </c>
      <c r="C354">
        <v>6</v>
      </c>
      <c r="D354" t="s">
        <v>725</v>
      </c>
      <c r="E354" t="s">
        <v>726</v>
      </c>
      <c r="F354" t="s">
        <v>51</v>
      </c>
      <c r="G354">
        <v>45</v>
      </c>
      <c r="H354">
        <v>9</v>
      </c>
      <c r="I354">
        <v>4.8499999999999996</v>
      </c>
      <c r="J354">
        <v>9</v>
      </c>
      <c r="K354">
        <v>4.8499999999999996</v>
      </c>
      <c r="L354">
        <v>36.5</v>
      </c>
      <c r="M354">
        <v>-5.5</v>
      </c>
      <c r="N354" t="s">
        <v>453</v>
      </c>
      <c r="O354" t="s">
        <v>427</v>
      </c>
      <c r="P354">
        <v>2.6</v>
      </c>
      <c r="Q354">
        <v>4.28</v>
      </c>
    </row>
    <row r="355" spans="1:18" x14ac:dyDescent="0.2">
      <c r="A355" t="s">
        <v>56</v>
      </c>
      <c r="B355">
        <v>2024</v>
      </c>
      <c r="C355">
        <v>6</v>
      </c>
      <c r="D355" t="s">
        <v>727</v>
      </c>
      <c r="E355" t="s">
        <v>728</v>
      </c>
      <c r="F355" t="s">
        <v>44</v>
      </c>
      <c r="G355">
        <v>65</v>
      </c>
      <c r="H355">
        <v>29</v>
      </c>
      <c r="I355">
        <v>4.5</v>
      </c>
      <c r="J355">
        <v>29</v>
      </c>
      <c r="K355">
        <v>4.5</v>
      </c>
      <c r="L355">
        <v>6.3</v>
      </c>
      <c r="M355">
        <v>-14.1</v>
      </c>
      <c r="N355" t="s">
        <v>422</v>
      </c>
      <c r="O355" t="s">
        <v>427</v>
      </c>
      <c r="P355">
        <v>5.6</v>
      </c>
      <c r="Q355">
        <v>17</v>
      </c>
      <c r="R355" t="s">
        <v>182</v>
      </c>
    </row>
    <row r="356" spans="1:18" x14ac:dyDescent="0.2">
      <c r="A356" t="s">
        <v>56</v>
      </c>
      <c r="B356">
        <v>2024</v>
      </c>
      <c r="C356">
        <v>6</v>
      </c>
      <c r="D356" t="s">
        <v>137</v>
      </c>
      <c r="E356" t="s">
        <v>729</v>
      </c>
      <c r="F356" t="s">
        <v>697</v>
      </c>
      <c r="G356">
        <v>16</v>
      </c>
      <c r="H356">
        <v>27</v>
      </c>
      <c r="I356">
        <v>2.2000000000000002</v>
      </c>
      <c r="J356">
        <v>27</v>
      </c>
      <c r="K356">
        <v>2.2000000000000002</v>
      </c>
      <c r="L356">
        <v>8</v>
      </c>
      <c r="M356" t="s">
        <v>427</v>
      </c>
      <c r="N356" t="s">
        <v>427</v>
      </c>
      <c r="O356">
        <v>0.87</v>
      </c>
      <c r="P356">
        <v>7.5</v>
      </c>
      <c r="Q356">
        <v>10.4</v>
      </c>
    </row>
    <row r="357" spans="1:18" x14ac:dyDescent="0.2">
      <c r="A357" t="s">
        <v>56</v>
      </c>
      <c r="B357">
        <v>2024</v>
      </c>
      <c r="C357">
        <v>6</v>
      </c>
      <c r="D357" t="s">
        <v>730</v>
      </c>
      <c r="E357" t="s">
        <v>731</v>
      </c>
      <c r="F357" t="s">
        <v>44</v>
      </c>
      <c r="G357">
        <v>65</v>
      </c>
      <c r="H357">
        <v>95</v>
      </c>
      <c r="I357">
        <v>5.6</v>
      </c>
      <c r="J357">
        <v>91</v>
      </c>
      <c r="K357">
        <v>6.5</v>
      </c>
      <c r="L357">
        <v>16</v>
      </c>
      <c r="M357">
        <v>-15</v>
      </c>
      <c r="N357" t="s">
        <v>422</v>
      </c>
      <c r="O357" t="s">
        <v>427</v>
      </c>
      <c r="P357">
        <v>8.5</v>
      </c>
      <c r="Q357">
        <v>180</v>
      </c>
      <c r="R357" t="s">
        <v>182</v>
      </c>
    </row>
    <row r="358" spans="1:18" x14ac:dyDescent="0.2">
      <c r="A358" t="s">
        <v>56</v>
      </c>
      <c r="B358">
        <v>2024</v>
      </c>
      <c r="C358">
        <v>6</v>
      </c>
      <c r="D358" t="s">
        <v>246</v>
      </c>
      <c r="E358" t="s">
        <v>732</v>
      </c>
      <c r="F358" t="s">
        <v>44</v>
      </c>
      <c r="G358">
        <v>40</v>
      </c>
      <c r="H358">
        <v>240</v>
      </c>
      <c r="I358">
        <v>11.5</v>
      </c>
      <c r="J358">
        <v>220</v>
      </c>
      <c r="K358">
        <v>12.5</v>
      </c>
      <c r="L358">
        <v>16.2</v>
      </c>
      <c r="M358">
        <v>-5.3</v>
      </c>
      <c r="N358" t="s">
        <v>453</v>
      </c>
      <c r="O358" t="s">
        <v>427</v>
      </c>
      <c r="P358">
        <v>15</v>
      </c>
      <c r="Q358">
        <v>34.700000000000003</v>
      </c>
      <c r="R358" t="s">
        <v>733</v>
      </c>
    </row>
    <row r="359" spans="1:18" x14ac:dyDescent="0.2">
      <c r="A359" t="s">
        <v>56</v>
      </c>
      <c r="B359">
        <v>2024</v>
      </c>
      <c r="C359">
        <v>6</v>
      </c>
      <c r="D359" t="s">
        <v>487</v>
      </c>
      <c r="E359" t="s">
        <v>734</v>
      </c>
      <c r="F359" t="s">
        <v>44</v>
      </c>
      <c r="G359">
        <v>40</v>
      </c>
      <c r="H359" t="s">
        <v>735</v>
      </c>
      <c r="I359" t="s">
        <v>736</v>
      </c>
      <c r="J359" t="s">
        <v>735</v>
      </c>
      <c r="K359" t="s">
        <v>736</v>
      </c>
      <c r="L359" t="s">
        <v>737</v>
      </c>
      <c r="M359" t="s">
        <v>738</v>
      </c>
      <c r="N359" t="s">
        <v>422</v>
      </c>
      <c r="O359" t="s">
        <v>739</v>
      </c>
      <c r="P359" t="s">
        <v>740</v>
      </c>
      <c r="Q359" t="s">
        <v>741</v>
      </c>
      <c r="R359" t="s">
        <v>690</v>
      </c>
    </row>
    <row r="360" spans="1:18" x14ac:dyDescent="0.2">
      <c r="A360" t="s">
        <v>56</v>
      </c>
      <c r="B360">
        <v>2024</v>
      </c>
      <c r="C360">
        <v>6</v>
      </c>
      <c r="D360" t="s">
        <v>63</v>
      </c>
      <c r="E360" t="s">
        <v>742</v>
      </c>
      <c r="F360" t="s">
        <v>44</v>
      </c>
      <c r="G360">
        <v>90</v>
      </c>
      <c r="H360">
        <v>5.2</v>
      </c>
      <c r="I360">
        <v>3.8</v>
      </c>
      <c r="J360">
        <v>5.2</v>
      </c>
      <c r="K360">
        <v>3.8</v>
      </c>
      <c r="L360">
        <v>15.9</v>
      </c>
      <c r="M360" t="s">
        <v>427</v>
      </c>
      <c r="N360" t="s">
        <v>427</v>
      </c>
      <c r="O360" t="s">
        <v>427</v>
      </c>
      <c r="P360" t="s">
        <v>427</v>
      </c>
      <c r="Q360">
        <v>20.5</v>
      </c>
    </row>
    <row r="361" spans="1:18" x14ac:dyDescent="0.2">
      <c r="A361" t="s">
        <v>56</v>
      </c>
      <c r="B361">
        <v>2024</v>
      </c>
      <c r="C361">
        <v>6</v>
      </c>
      <c r="D361" t="s">
        <v>63</v>
      </c>
      <c r="E361" t="s">
        <v>743</v>
      </c>
      <c r="F361" t="s">
        <v>44</v>
      </c>
      <c r="G361">
        <v>180</v>
      </c>
      <c r="H361">
        <v>10.199999999999999</v>
      </c>
      <c r="I361">
        <v>4.4000000000000004</v>
      </c>
      <c r="J361">
        <v>12</v>
      </c>
      <c r="K361">
        <v>5</v>
      </c>
      <c r="L361">
        <v>17.100000000000001</v>
      </c>
      <c r="M361">
        <v>-8.5</v>
      </c>
      <c r="N361" t="s">
        <v>422</v>
      </c>
      <c r="O361">
        <v>2</v>
      </c>
      <c r="P361">
        <v>3.6</v>
      </c>
      <c r="Q361">
        <v>28.8</v>
      </c>
      <c r="R361" t="s">
        <v>744</v>
      </c>
    </row>
    <row r="362" spans="1:18" x14ac:dyDescent="0.2">
      <c r="A362" t="s">
        <v>56</v>
      </c>
      <c r="B362">
        <v>2024</v>
      </c>
      <c r="C362">
        <v>6</v>
      </c>
      <c r="D362" t="s">
        <v>745</v>
      </c>
      <c r="E362" t="s">
        <v>746</v>
      </c>
      <c r="F362" t="s">
        <v>44</v>
      </c>
      <c r="G362">
        <v>90</v>
      </c>
      <c r="H362">
        <v>2.6</v>
      </c>
      <c r="I362">
        <v>3.46</v>
      </c>
      <c r="J362">
        <v>2.6</v>
      </c>
      <c r="K362">
        <v>3.46</v>
      </c>
      <c r="L362">
        <v>12.4</v>
      </c>
      <c r="M362" t="s">
        <v>427</v>
      </c>
      <c r="N362" t="s">
        <v>427</v>
      </c>
      <c r="O362" t="s">
        <v>427</v>
      </c>
      <c r="P362" t="s">
        <v>427</v>
      </c>
      <c r="Q362">
        <v>8.1999999999999993</v>
      </c>
      <c r="R362" t="s">
        <v>182</v>
      </c>
    </row>
    <row r="363" spans="1:18" x14ac:dyDescent="0.2">
      <c r="A363" t="s">
        <v>56</v>
      </c>
      <c r="B363">
        <v>2024</v>
      </c>
      <c r="C363">
        <v>6</v>
      </c>
      <c r="D363" t="s">
        <v>747</v>
      </c>
      <c r="E363" t="s">
        <v>748</v>
      </c>
      <c r="F363" t="s">
        <v>44</v>
      </c>
      <c r="G363">
        <v>65</v>
      </c>
      <c r="H363">
        <v>81</v>
      </c>
      <c r="I363">
        <v>7</v>
      </c>
      <c r="J363">
        <v>80</v>
      </c>
      <c r="K363">
        <v>7.8</v>
      </c>
      <c r="L363">
        <v>18</v>
      </c>
      <c r="M363">
        <v>-14</v>
      </c>
      <c r="N363" t="s">
        <v>422</v>
      </c>
      <c r="O363" t="s">
        <v>427</v>
      </c>
      <c r="P363">
        <v>21</v>
      </c>
      <c r="Q363">
        <v>53</v>
      </c>
    </row>
    <row r="364" spans="1:18" x14ac:dyDescent="0.2">
      <c r="A364" t="s">
        <v>48</v>
      </c>
      <c r="B364">
        <v>2024</v>
      </c>
      <c r="C364">
        <v>6</v>
      </c>
      <c r="D364" t="s">
        <v>373</v>
      </c>
      <c r="E364" t="s">
        <v>749</v>
      </c>
      <c r="F364" t="s">
        <v>44</v>
      </c>
      <c r="G364">
        <v>40</v>
      </c>
      <c r="H364">
        <v>146</v>
      </c>
      <c r="I364">
        <v>6.1</v>
      </c>
      <c r="J364">
        <v>140</v>
      </c>
      <c r="K364">
        <v>6.62</v>
      </c>
      <c r="L364">
        <v>18.399999999999999</v>
      </c>
      <c r="M364">
        <v>-16.7</v>
      </c>
      <c r="N364" t="s">
        <v>422</v>
      </c>
      <c r="O364" t="s">
        <v>427</v>
      </c>
      <c r="P364">
        <v>16.5</v>
      </c>
      <c r="Q364">
        <v>17.100000000000001</v>
      </c>
    </row>
    <row r="365" spans="1:18" x14ac:dyDescent="0.2">
      <c r="A365" t="s">
        <v>48</v>
      </c>
      <c r="B365">
        <v>2024</v>
      </c>
      <c r="C365">
        <v>6</v>
      </c>
      <c r="D365" t="s">
        <v>177</v>
      </c>
      <c r="E365" t="s">
        <v>750</v>
      </c>
      <c r="F365" t="s">
        <v>44</v>
      </c>
      <c r="G365">
        <v>65</v>
      </c>
      <c r="H365" t="s">
        <v>751</v>
      </c>
      <c r="I365" t="s">
        <v>502</v>
      </c>
      <c r="J365" t="s">
        <v>752</v>
      </c>
      <c r="K365" t="s">
        <v>753</v>
      </c>
      <c r="L365" t="s">
        <v>754</v>
      </c>
      <c r="M365" t="s">
        <v>427</v>
      </c>
      <c r="N365" t="s">
        <v>427</v>
      </c>
      <c r="O365" s="35" t="s">
        <v>504</v>
      </c>
      <c r="P365" t="s">
        <v>505</v>
      </c>
      <c r="Q365" t="s">
        <v>506</v>
      </c>
    </row>
    <row r="366" spans="1:18" x14ac:dyDescent="0.2">
      <c r="A366" t="s">
        <v>48</v>
      </c>
      <c r="B366">
        <v>2024</v>
      </c>
      <c r="C366">
        <v>6</v>
      </c>
      <c r="D366" t="s">
        <v>755</v>
      </c>
      <c r="E366" t="s">
        <v>756</v>
      </c>
      <c r="F366" t="s">
        <v>51</v>
      </c>
      <c r="G366">
        <v>45</v>
      </c>
      <c r="H366">
        <v>29</v>
      </c>
      <c r="I366">
        <v>5.4</v>
      </c>
      <c r="J366">
        <v>29</v>
      </c>
      <c r="K366">
        <v>5.4</v>
      </c>
      <c r="L366">
        <v>30</v>
      </c>
      <c r="M366">
        <v>-7.8</v>
      </c>
      <c r="N366" t="s">
        <v>422</v>
      </c>
      <c r="O366" t="s">
        <v>427</v>
      </c>
      <c r="P366" t="s">
        <v>427</v>
      </c>
      <c r="Q366">
        <v>62.8</v>
      </c>
      <c r="R366" t="s">
        <v>182</v>
      </c>
    </row>
    <row r="367" spans="1:18" x14ac:dyDescent="0.2">
      <c r="A367" t="s">
        <v>48</v>
      </c>
      <c r="B367">
        <v>2024</v>
      </c>
      <c r="C367">
        <v>6</v>
      </c>
      <c r="D367" t="s">
        <v>487</v>
      </c>
      <c r="E367" t="s">
        <v>757</v>
      </c>
      <c r="F367" t="s">
        <v>44</v>
      </c>
      <c r="G367">
        <v>28</v>
      </c>
      <c r="H367" t="s">
        <v>758</v>
      </c>
      <c r="I367" t="s">
        <v>759</v>
      </c>
      <c r="J367" t="s">
        <v>760</v>
      </c>
      <c r="K367" t="s">
        <v>761</v>
      </c>
      <c r="L367" t="s">
        <v>762</v>
      </c>
      <c r="M367" t="s">
        <v>763</v>
      </c>
      <c r="N367" t="s">
        <v>422</v>
      </c>
      <c r="O367" t="s">
        <v>764</v>
      </c>
      <c r="P367" t="s">
        <v>765</v>
      </c>
      <c r="Q367" t="s">
        <v>766</v>
      </c>
    </row>
    <row r="368" spans="1:18" x14ac:dyDescent="0.2">
      <c r="A368" t="s">
        <v>48</v>
      </c>
      <c r="B368">
        <v>2024</v>
      </c>
      <c r="C368">
        <v>6</v>
      </c>
      <c r="D368" t="s">
        <v>767</v>
      </c>
      <c r="E368" t="s">
        <v>768</v>
      </c>
      <c r="F368" t="s">
        <v>697</v>
      </c>
      <c r="G368">
        <v>16</v>
      </c>
      <c r="H368">
        <v>190</v>
      </c>
      <c r="I368">
        <v>8.3000000000000007</v>
      </c>
      <c r="J368">
        <v>200</v>
      </c>
      <c r="K368">
        <v>9</v>
      </c>
      <c r="L368">
        <v>12</v>
      </c>
      <c r="M368">
        <v>-1.6</v>
      </c>
      <c r="N368" t="s">
        <v>426</v>
      </c>
      <c r="O368" t="s">
        <v>427</v>
      </c>
      <c r="P368">
        <v>48</v>
      </c>
      <c r="Q368">
        <v>28</v>
      </c>
    </row>
    <row r="369" spans="1:18" x14ac:dyDescent="0.2">
      <c r="A369" t="s">
        <v>48</v>
      </c>
      <c r="B369">
        <v>2024</v>
      </c>
      <c r="C369">
        <v>6</v>
      </c>
      <c r="D369" t="s">
        <v>129</v>
      </c>
      <c r="E369" t="s">
        <v>769</v>
      </c>
      <c r="F369" t="s">
        <v>44</v>
      </c>
      <c r="G369">
        <v>40</v>
      </c>
      <c r="H369">
        <v>24</v>
      </c>
      <c r="I369">
        <v>3.39</v>
      </c>
      <c r="J369">
        <v>32</v>
      </c>
      <c r="K369">
        <v>3.8</v>
      </c>
      <c r="L369">
        <v>11</v>
      </c>
      <c r="M369">
        <v>-15.5</v>
      </c>
      <c r="N369" t="s">
        <v>422</v>
      </c>
      <c r="O369" t="s">
        <v>427</v>
      </c>
      <c r="P369">
        <v>27</v>
      </c>
      <c r="Q369">
        <v>4.4000000000000004</v>
      </c>
    </row>
    <row r="370" spans="1:18" x14ac:dyDescent="0.2">
      <c r="A370" t="s">
        <v>48</v>
      </c>
      <c r="B370">
        <v>2024</v>
      </c>
      <c r="C370">
        <v>6</v>
      </c>
      <c r="D370" t="s">
        <v>97</v>
      </c>
      <c r="E370" t="s">
        <v>770</v>
      </c>
      <c r="F370" t="s">
        <v>51</v>
      </c>
      <c r="G370">
        <v>45</v>
      </c>
      <c r="H370">
        <v>20</v>
      </c>
      <c r="I370">
        <v>2.46</v>
      </c>
      <c r="J370">
        <v>19</v>
      </c>
      <c r="K370">
        <v>2.5</v>
      </c>
      <c r="L370">
        <v>16.2</v>
      </c>
      <c r="M370" t="s">
        <v>427</v>
      </c>
      <c r="N370" t="s">
        <v>427</v>
      </c>
      <c r="O370" t="s">
        <v>427</v>
      </c>
      <c r="P370" t="s">
        <v>427</v>
      </c>
      <c r="Q370" t="s">
        <v>427</v>
      </c>
      <c r="R370" t="s">
        <v>771</v>
      </c>
    </row>
    <row r="371" spans="1:18" x14ac:dyDescent="0.2">
      <c r="A371" t="s">
        <v>48</v>
      </c>
      <c r="B371">
        <v>2024</v>
      </c>
      <c r="C371">
        <v>6</v>
      </c>
      <c r="D371" t="s">
        <v>524</v>
      </c>
      <c r="E371" t="s">
        <v>772</v>
      </c>
      <c r="F371" t="s">
        <v>44</v>
      </c>
      <c r="G371">
        <v>28</v>
      </c>
      <c r="H371">
        <v>31</v>
      </c>
      <c r="I371">
        <v>5.3</v>
      </c>
      <c r="J371">
        <v>31</v>
      </c>
      <c r="K371">
        <v>5.3</v>
      </c>
      <c r="L371">
        <v>17.3</v>
      </c>
      <c r="M371">
        <v>-10.3</v>
      </c>
      <c r="N371" t="s">
        <v>422</v>
      </c>
      <c r="O371">
        <v>0</v>
      </c>
      <c r="P371">
        <v>8</v>
      </c>
      <c r="Q371">
        <v>63</v>
      </c>
    </row>
    <row r="372" spans="1:18" x14ac:dyDescent="0.2">
      <c r="A372" t="s">
        <v>48</v>
      </c>
      <c r="B372">
        <v>2024</v>
      </c>
      <c r="C372">
        <v>6</v>
      </c>
      <c r="D372" t="s">
        <v>246</v>
      </c>
      <c r="E372" t="s">
        <v>773</v>
      </c>
      <c r="F372" t="s">
        <v>44</v>
      </c>
      <c r="G372">
        <v>65</v>
      </c>
      <c r="H372" t="s">
        <v>774</v>
      </c>
      <c r="I372" t="s">
        <v>470</v>
      </c>
      <c r="J372" t="s">
        <v>775</v>
      </c>
      <c r="K372" t="s">
        <v>776</v>
      </c>
      <c r="L372" t="s">
        <v>471</v>
      </c>
      <c r="M372" s="35" t="s">
        <v>777</v>
      </c>
      <c r="N372" t="s">
        <v>422</v>
      </c>
      <c r="O372" t="s">
        <v>427</v>
      </c>
      <c r="P372" t="s">
        <v>474</v>
      </c>
      <c r="Q372">
        <v>58.8</v>
      </c>
      <c r="R372" t="s">
        <v>182</v>
      </c>
    </row>
    <row r="373" spans="1:18" x14ac:dyDescent="0.2">
      <c r="A373" t="s">
        <v>87</v>
      </c>
      <c r="B373">
        <v>2024</v>
      </c>
      <c r="C373">
        <v>7</v>
      </c>
      <c r="D373" t="s">
        <v>97</v>
      </c>
      <c r="E373" t="s">
        <v>778</v>
      </c>
      <c r="F373" t="s">
        <v>44</v>
      </c>
      <c r="G373">
        <v>40</v>
      </c>
      <c r="H373">
        <v>20</v>
      </c>
      <c r="I373">
        <v>3.4</v>
      </c>
      <c r="J373">
        <v>20</v>
      </c>
      <c r="K373">
        <v>3.4</v>
      </c>
      <c r="L373">
        <v>22</v>
      </c>
      <c r="M373">
        <v>-28</v>
      </c>
      <c r="N373" t="s">
        <v>422</v>
      </c>
      <c r="O373" t="s">
        <v>427</v>
      </c>
      <c r="P373">
        <v>6.7</v>
      </c>
      <c r="Q373">
        <v>62</v>
      </c>
      <c r="R373" t="s">
        <v>779</v>
      </c>
    </row>
    <row r="374" spans="1:18" x14ac:dyDescent="0.2">
      <c r="A374" t="s">
        <v>87</v>
      </c>
      <c r="B374">
        <v>2024</v>
      </c>
      <c r="C374">
        <v>7</v>
      </c>
      <c r="D374" t="s">
        <v>264</v>
      </c>
      <c r="E374" t="s">
        <v>780</v>
      </c>
      <c r="F374" t="s">
        <v>44</v>
      </c>
      <c r="G374">
        <v>40</v>
      </c>
      <c r="H374">
        <v>52.5</v>
      </c>
      <c r="I374">
        <v>4.4000000000000004</v>
      </c>
      <c r="J374">
        <v>60</v>
      </c>
      <c r="K374">
        <v>4.5999999999999996</v>
      </c>
      <c r="L374">
        <v>16.5</v>
      </c>
      <c r="M374">
        <v>-13</v>
      </c>
      <c r="N374" t="s">
        <v>422</v>
      </c>
      <c r="O374" t="s">
        <v>427</v>
      </c>
      <c r="P374">
        <v>16.399999999999999</v>
      </c>
      <c r="Q374">
        <v>33</v>
      </c>
    </row>
    <row r="375" spans="1:18" x14ac:dyDescent="0.2">
      <c r="A375" t="s">
        <v>198</v>
      </c>
      <c r="B375">
        <v>2024</v>
      </c>
      <c r="C375">
        <v>7</v>
      </c>
      <c r="D375" t="s">
        <v>151</v>
      </c>
      <c r="E375" t="s">
        <v>781</v>
      </c>
      <c r="F375" t="s">
        <v>44</v>
      </c>
      <c r="G375">
        <v>65</v>
      </c>
      <c r="H375">
        <v>133.5</v>
      </c>
      <c r="I375">
        <v>12</v>
      </c>
      <c r="J375">
        <v>133.5</v>
      </c>
      <c r="K375">
        <v>12</v>
      </c>
      <c r="L375">
        <v>40.4</v>
      </c>
      <c r="M375">
        <v>-1.8</v>
      </c>
      <c r="N375" t="s">
        <v>426</v>
      </c>
      <c r="O375" t="s">
        <v>427</v>
      </c>
      <c r="P375">
        <v>6</v>
      </c>
      <c r="Q375">
        <v>77.400000000000006</v>
      </c>
      <c r="R375" t="s">
        <v>782</v>
      </c>
    </row>
    <row r="376" spans="1:18" x14ac:dyDescent="0.2">
      <c r="A376" t="s">
        <v>59</v>
      </c>
      <c r="B376">
        <v>2024</v>
      </c>
      <c r="C376">
        <v>6</v>
      </c>
      <c r="D376" t="s">
        <v>143</v>
      </c>
      <c r="E376" t="s">
        <v>783</v>
      </c>
      <c r="F376" t="s">
        <v>44</v>
      </c>
      <c r="G376">
        <v>90</v>
      </c>
      <c r="H376">
        <v>26.5</v>
      </c>
      <c r="I376">
        <v>1.98</v>
      </c>
      <c r="J376">
        <v>28</v>
      </c>
      <c r="K376">
        <v>2.5</v>
      </c>
      <c r="L376">
        <v>21.8</v>
      </c>
      <c r="M376">
        <v>-19.600000000000001</v>
      </c>
      <c r="N376" t="s">
        <v>422</v>
      </c>
      <c r="O376">
        <v>-10</v>
      </c>
      <c r="P376">
        <v>7.2</v>
      </c>
      <c r="Q376">
        <v>9.5</v>
      </c>
    </row>
    <row r="377" spans="1:18" x14ac:dyDescent="0.2">
      <c r="A377" t="s">
        <v>108</v>
      </c>
      <c r="B377">
        <v>2024</v>
      </c>
      <c r="C377">
        <v>6</v>
      </c>
      <c r="D377" t="s">
        <v>137</v>
      </c>
      <c r="E377" t="s">
        <v>784</v>
      </c>
      <c r="F377" t="s">
        <v>44</v>
      </c>
      <c r="G377">
        <v>28</v>
      </c>
      <c r="H377">
        <v>1.7</v>
      </c>
      <c r="I377">
        <v>2.9</v>
      </c>
      <c r="J377">
        <v>1.7</v>
      </c>
      <c r="K377">
        <v>2.9</v>
      </c>
      <c r="L377">
        <v>18.5</v>
      </c>
      <c r="M377">
        <v>-21</v>
      </c>
      <c r="N377" t="s">
        <v>587</v>
      </c>
      <c r="O377">
        <v>-12.3</v>
      </c>
      <c r="P377">
        <v>2.65</v>
      </c>
      <c r="Q377">
        <v>1.74</v>
      </c>
      <c r="R377" t="s">
        <v>785</v>
      </c>
    </row>
    <row r="378" spans="1:18" x14ac:dyDescent="0.2">
      <c r="A378" t="s">
        <v>59</v>
      </c>
      <c r="B378">
        <v>2024</v>
      </c>
      <c r="C378">
        <v>6</v>
      </c>
      <c r="D378" t="s">
        <v>166</v>
      </c>
      <c r="E378" t="s">
        <v>786</v>
      </c>
      <c r="F378" t="s">
        <v>44</v>
      </c>
      <c r="G378">
        <v>65</v>
      </c>
      <c r="H378" t="s">
        <v>787</v>
      </c>
      <c r="I378" t="s">
        <v>788</v>
      </c>
      <c r="J378" t="s">
        <v>787</v>
      </c>
      <c r="K378" t="s">
        <v>788</v>
      </c>
      <c r="L378" t="s">
        <v>789</v>
      </c>
      <c r="M378" t="s">
        <v>427</v>
      </c>
      <c r="N378" t="s">
        <v>427</v>
      </c>
      <c r="O378" t="s">
        <v>790</v>
      </c>
      <c r="P378" t="s">
        <v>791</v>
      </c>
      <c r="Q378">
        <v>21.2</v>
      </c>
    </row>
    <row r="379" spans="1:18" x14ac:dyDescent="0.2">
      <c r="A379" t="s">
        <v>87</v>
      </c>
      <c r="B379">
        <v>2024</v>
      </c>
      <c r="C379">
        <v>5</v>
      </c>
      <c r="D379" t="s">
        <v>70</v>
      </c>
      <c r="E379" t="s">
        <v>792</v>
      </c>
      <c r="F379" t="s">
        <v>44</v>
      </c>
      <c r="G379">
        <v>65</v>
      </c>
      <c r="H379">
        <v>11.5</v>
      </c>
      <c r="I379">
        <v>2.6</v>
      </c>
      <c r="J379">
        <v>11.5</v>
      </c>
      <c r="K379">
        <v>2.6</v>
      </c>
      <c r="L379">
        <v>25</v>
      </c>
      <c r="M379" t="s">
        <v>427</v>
      </c>
      <c r="N379" t="s">
        <v>427</v>
      </c>
      <c r="O379" t="s">
        <v>427</v>
      </c>
      <c r="P379">
        <v>3.7</v>
      </c>
      <c r="Q379" t="s">
        <v>427</v>
      </c>
      <c r="R379" t="s">
        <v>182</v>
      </c>
    </row>
    <row r="380" spans="1:18" x14ac:dyDescent="0.2">
      <c r="A380" t="s">
        <v>84</v>
      </c>
      <c r="B380">
        <v>2024</v>
      </c>
      <c r="C380">
        <v>5</v>
      </c>
      <c r="D380" t="s">
        <v>177</v>
      </c>
      <c r="E380" t="s">
        <v>793</v>
      </c>
      <c r="F380" t="s">
        <v>44</v>
      </c>
      <c r="G380">
        <v>65</v>
      </c>
      <c r="H380" t="s">
        <v>794</v>
      </c>
      <c r="I380" t="s">
        <v>795</v>
      </c>
      <c r="J380" t="s">
        <v>794</v>
      </c>
      <c r="K380" t="s">
        <v>795</v>
      </c>
      <c r="L380" t="s">
        <v>796</v>
      </c>
      <c r="M380" s="35" t="s">
        <v>797</v>
      </c>
      <c r="N380" t="s">
        <v>422</v>
      </c>
      <c r="O380" s="35" t="s">
        <v>645</v>
      </c>
      <c r="P380" t="s">
        <v>798</v>
      </c>
      <c r="Q380">
        <v>26.4</v>
      </c>
    </row>
    <row r="381" spans="1:18" x14ac:dyDescent="0.2">
      <c r="A381" t="s">
        <v>59</v>
      </c>
      <c r="B381">
        <v>2024</v>
      </c>
      <c r="C381">
        <v>5</v>
      </c>
      <c r="D381" t="s">
        <v>799</v>
      </c>
      <c r="E381" t="s">
        <v>800</v>
      </c>
      <c r="F381" t="s">
        <v>55</v>
      </c>
      <c r="G381">
        <v>55</v>
      </c>
      <c r="H381">
        <v>150</v>
      </c>
      <c r="I381">
        <v>6.8</v>
      </c>
      <c r="J381">
        <v>150</v>
      </c>
      <c r="K381">
        <v>6.8</v>
      </c>
      <c r="L381">
        <v>20</v>
      </c>
      <c r="M381">
        <v>-22.5</v>
      </c>
      <c r="N381" t="s">
        <v>422</v>
      </c>
      <c r="O381" t="s">
        <v>427</v>
      </c>
      <c r="P381">
        <v>40</v>
      </c>
      <c r="Q381">
        <v>80</v>
      </c>
    </row>
    <row r="382" spans="1:18" x14ac:dyDescent="0.2">
      <c r="A382" t="s">
        <v>45</v>
      </c>
      <c r="B382">
        <v>2024</v>
      </c>
      <c r="C382">
        <v>5</v>
      </c>
      <c r="D382" t="s">
        <v>801</v>
      </c>
      <c r="E382" t="s">
        <v>802</v>
      </c>
      <c r="F382" t="s">
        <v>55</v>
      </c>
      <c r="G382">
        <v>130</v>
      </c>
      <c r="H382">
        <v>23</v>
      </c>
      <c r="I382">
        <v>3.1</v>
      </c>
      <c r="J382">
        <v>23</v>
      </c>
      <c r="K382">
        <v>3.1</v>
      </c>
      <c r="L382">
        <v>19.3</v>
      </c>
      <c r="M382">
        <v>-19.399999999999999</v>
      </c>
      <c r="N382" t="s">
        <v>422</v>
      </c>
      <c r="O382" t="s">
        <v>427</v>
      </c>
      <c r="P382">
        <v>4.9000000000000004</v>
      </c>
      <c r="Q382">
        <v>10</v>
      </c>
      <c r="R382" t="s">
        <v>182</v>
      </c>
    </row>
    <row r="383" spans="1:18" x14ac:dyDescent="0.2">
      <c r="A383" t="s">
        <v>108</v>
      </c>
      <c r="B383">
        <v>2024</v>
      </c>
      <c r="C383">
        <v>5</v>
      </c>
      <c r="D383" t="s">
        <v>70</v>
      </c>
      <c r="E383" t="s">
        <v>803</v>
      </c>
      <c r="F383" t="s">
        <v>44</v>
      </c>
      <c r="G383">
        <v>65</v>
      </c>
      <c r="H383" t="s">
        <v>804</v>
      </c>
      <c r="I383" t="s">
        <v>805</v>
      </c>
      <c r="J383" t="s">
        <v>806</v>
      </c>
      <c r="K383" t="s">
        <v>807</v>
      </c>
      <c r="L383" t="s">
        <v>808</v>
      </c>
      <c r="M383" s="35" t="s">
        <v>809</v>
      </c>
      <c r="N383" t="s">
        <v>422</v>
      </c>
      <c r="O383" s="35" t="s">
        <v>810</v>
      </c>
      <c r="P383" t="s">
        <v>811</v>
      </c>
      <c r="Q383" t="s">
        <v>812</v>
      </c>
      <c r="R383" t="s">
        <v>813</v>
      </c>
    </row>
    <row r="384" spans="1:18" x14ac:dyDescent="0.2">
      <c r="A384" t="s">
        <v>198</v>
      </c>
      <c r="B384">
        <v>2024</v>
      </c>
      <c r="C384">
        <v>5</v>
      </c>
      <c r="D384" t="s">
        <v>346</v>
      </c>
      <c r="E384" t="s">
        <v>814</v>
      </c>
      <c r="F384" t="s">
        <v>44</v>
      </c>
      <c r="G384">
        <v>180</v>
      </c>
      <c r="H384">
        <v>3.5</v>
      </c>
      <c r="I384">
        <v>3.3</v>
      </c>
      <c r="J384">
        <v>4</v>
      </c>
      <c r="K384">
        <v>3.4</v>
      </c>
      <c r="L384">
        <v>12.6</v>
      </c>
      <c r="M384">
        <v>-15</v>
      </c>
      <c r="N384" t="s">
        <v>422</v>
      </c>
      <c r="O384">
        <v>-5</v>
      </c>
      <c r="P384">
        <v>4</v>
      </c>
      <c r="Q384">
        <v>9.9</v>
      </c>
    </row>
    <row r="385" spans="1:18" x14ac:dyDescent="0.2">
      <c r="A385" t="s">
        <v>45</v>
      </c>
      <c r="B385">
        <v>2024</v>
      </c>
      <c r="C385">
        <v>5</v>
      </c>
      <c r="D385" t="s">
        <v>815</v>
      </c>
      <c r="E385" t="s">
        <v>816</v>
      </c>
      <c r="F385" t="s">
        <v>44</v>
      </c>
      <c r="G385">
        <v>28</v>
      </c>
      <c r="H385" t="s">
        <v>817</v>
      </c>
      <c r="I385" t="s">
        <v>818</v>
      </c>
      <c r="J385" t="s">
        <v>819</v>
      </c>
      <c r="K385" t="s">
        <v>820</v>
      </c>
      <c r="L385" t="s">
        <v>821</v>
      </c>
      <c r="M385" s="35" t="s">
        <v>822</v>
      </c>
      <c r="N385" t="s">
        <v>422</v>
      </c>
      <c r="O385" s="35" t="s">
        <v>823</v>
      </c>
      <c r="P385" t="s">
        <v>824</v>
      </c>
      <c r="Q385">
        <v>14</v>
      </c>
    </row>
    <row r="386" spans="1:18" x14ac:dyDescent="0.2">
      <c r="A386" t="s">
        <v>198</v>
      </c>
      <c r="B386">
        <v>2024</v>
      </c>
      <c r="C386">
        <v>4</v>
      </c>
      <c r="D386" t="s">
        <v>199</v>
      </c>
      <c r="E386" t="s">
        <v>825</v>
      </c>
      <c r="F386" t="s">
        <v>44</v>
      </c>
      <c r="G386">
        <v>65</v>
      </c>
      <c r="H386" t="s">
        <v>826</v>
      </c>
      <c r="I386" t="s">
        <v>827</v>
      </c>
      <c r="J386" t="s">
        <v>826</v>
      </c>
      <c r="K386" t="s">
        <v>827</v>
      </c>
      <c r="L386" t="s">
        <v>828</v>
      </c>
      <c r="M386" s="35" t="s">
        <v>829</v>
      </c>
      <c r="N386" t="s">
        <v>422</v>
      </c>
      <c r="O386" s="35" t="s">
        <v>830</v>
      </c>
      <c r="P386" t="s">
        <v>831</v>
      </c>
      <c r="Q386">
        <v>37.700000000000003</v>
      </c>
      <c r="R386" t="s">
        <v>832</v>
      </c>
    </row>
    <row r="387" spans="1:18" x14ac:dyDescent="0.2">
      <c r="A387" t="s">
        <v>87</v>
      </c>
      <c r="B387">
        <v>2024</v>
      </c>
      <c r="C387">
        <v>4</v>
      </c>
      <c r="D387" t="s">
        <v>177</v>
      </c>
      <c r="E387" t="s">
        <v>833</v>
      </c>
      <c r="F387" t="s">
        <v>44</v>
      </c>
      <c r="G387">
        <v>65</v>
      </c>
      <c r="H387">
        <v>14.5</v>
      </c>
      <c r="I387">
        <v>5.7</v>
      </c>
      <c r="J387">
        <v>14.5</v>
      </c>
      <c r="K387">
        <v>5.7</v>
      </c>
      <c r="L387">
        <v>24</v>
      </c>
      <c r="M387">
        <v>-21.7</v>
      </c>
      <c r="N387" t="s">
        <v>422</v>
      </c>
      <c r="O387">
        <v>-16.100000000000001</v>
      </c>
      <c r="P387" t="s">
        <v>427</v>
      </c>
      <c r="Q387">
        <v>355.5</v>
      </c>
      <c r="R387" t="s">
        <v>182</v>
      </c>
    </row>
    <row r="388" spans="1:18" x14ac:dyDescent="0.2">
      <c r="A388" t="s">
        <v>108</v>
      </c>
      <c r="B388">
        <v>2024</v>
      </c>
      <c r="C388">
        <v>4</v>
      </c>
      <c r="D388" t="s">
        <v>834</v>
      </c>
      <c r="E388" t="s">
        <v>835</v>
      </c>
      <c r="F388" t="s">
        <v>44</v>
      </c>
      <c r="G388">
        <v>65</v>
      </c>
      <c r="H388">
        <v>2</v>
      </c>
      <c r="I388">
        <v>4.45</v>
      </c>
      <c r="J388">
        <v>2</v>
      </c>
      <c r="K388">
        <v>4.45</v>
      </c>
      <c r="L388">
        <v>15.6</v>
      </c>
      <c r="M388" t="s">
        <v>427</v>
      </c>
      <c r="N388" t="s">
        <v>427</v>
      </c>
      <c r="O388">
        <v>-16</v>
      </c>
      <c r="P388">
        <v>4.2</v>
      </c>
      <c r="Q388">
        <v>0.96</v>
      </c>
    </row>
    <row r="389" spans="1:18" x14ac:dyDescent="0.2">
      <c r="A389" t="s">
        <v>45</v>
      </c>
      <c r="B389">
        <v>2024</v>
      </c>
      <c r="C389">
        <v>4</v>
      </c>
      <c r="D389" t="s">
        <v>151</v>
      </c>
      <c r="E389" t="s">
        <v>836</v>
      </c>
      <c r="F389" t="s">
        <v>55</v>
      </c>
      <c r="G389">
        <v>130</v>
      </c>
      <c r="H389">
        <v>28</v>
      </c>
      <c r="I389">
        <v>2.8</v>
      </c>
      <c r="J389">
        <v>28</v>
      </c>
      <c r="K389">
        <v>2.8</v>
      </c>
      <c r="L389">
        <v>19.5</v>
      </c>
      <c r="M389">
        <v>-31.2</v>
      </c>
      <c r="N389" t="s">
        <v>422</v>
      </c>
      <c r="O389" t="s">
        <v>427</v>
      </c>
      <c r="P389">
        <v>14</v>
      </c>
      <c r="Q389">
        <v>48</v>
      </c>
      <c r="R389" t="s">
        <v>182</v>
      </c>
    </row>
    <row r="390" spans="1:18" x14ac:dyDescent="0.2">
      <c r="A390" t="s">
        <v>59</v>
      </c>
      <c r="B390">
        <v>2024</v>
      </c>
      <c r="C390">
        <v>3</v>
      </c>
      <c r="D390" t="s">
        <v>95</v>
      </c>
      <c r="E390" t="s">
        <v>837</v>
      </c>
      <c r="F390" t="s">
        <v>44</v>
      </c>
      <c r="G390">
        <v>65</v>
      </c>
      <c r="H390">
        <v>153</v>
      </c>
      <c r="I390">
        <v>7.5</v>
      </c>
      <c r="J390">
        <v>153</v>
      </c>
      <c r="K390">
        <v>7.5</v>
      </c>
      <c r="L390">
        <v>28</v>
      </c>
      <c r="M390">
        <v>-32</v>
      </c>
      <c r="N390" t="s">
        <v>422</v>
      </c>
      <c r="O390" t="s">
        <v>427</v>
      </c>
      <c r="P390">
        <v>4.5</v>
      </c>
      <c r="Q390">
        <v>21.8</v>
      </c>
      <c r="R390" t="s">
        <v>182</v>
      </c>
    </row>
    <row r="391" spans="1:18" x14ac:dyDescent="0.2">
      <c r="A391" t="s">
        <v>59</v>
      </c>
      <c r="B391">
        <v>2024</v>
      </c>
      <c r="C391">
        <v>3</v>
      </c>
      <c r="D391" t="s">
        <v>615</v>
      </c>
      <c r="E391" t="s">
        <v>838</v>
      </c>
      <c r="F391" t="s">
        <v>51</v>
      </c>
      <c r="G391">
        <v>22</v>
      </c>
      <c r="H391" t="s">
        <v>536</v>
      </c>
      <c r="I391" s="32" t="s">
        <v>839</v>
      </c>
      <c r="J391" t="s">
        <v>794</v>
      </c>
      <c r="K391" t="s">
        <v>840</v>
      </c>
      <c r="L391" t="s">
        <v>841</v>
      </c>
      <c r="M391" s="35" t="s">
        <v>842</v>
      </c>
      <c r="N391" t="s">
        <v>422</v>
      </c>
      <c r="O391" t="s">
        <v>427</v>
      </c>
      <c r="P391">
        <v>7</v>
      </c>
      <c r="Q391">
        <v>54.8</v>
      </c>
      <c r="R391" t="s">
        <v>182</v>
      </c>
    </row>
    <row r="392" spans="1:18" x14ac:dyDescent="0.2">
      <c r="A392" t="s">
        <v>87</v>
      </c>
      <c r="B392">
        <v>2024</v>
      </c>
      <c r="C392">
        <v>3</v>
      </c>
      <c r="D392" t="s">
        <v>77</v>
      </c>
      <c r="E392" t="s">
        <v>843</v>
      </c>
      <c r="F392" t="s">
        <v>44</v>
      </c>
      <c r="G392">
        <v>65</v>
      </c>
      <c r="H392">
        <v>24</v>
      </c>
      <c r="I392">
        <v>3</v>
      </c>
      <c r="J392">
        <v>32</v>
      </c>
      <c r="K392">
        <v>3.5</v>
      </c>
      <c r="L392">
        <v>15</v>
      </c>
      <c r="M392">
        <v>-18</v>
      </c>
      <c r="N392" t="s">
        <v>422</v>
      </c>
      <c r="O392" t="s">
        <v>427</v>
      </c>
      <c r="P392">
        <v>26</v>
      </c>
      <c r="Q392">
        <v>17</v>
      </c>
    </row>
    <row r="393" spans="1:18" x14ac:dyDescent="0.2">
      <c r="A393" t="s">
        <v>87</v>
      </c>
      <c r="B393">
        <v>2024</v>
      </c>
      <c r="C393">
        <v>3</v>
      </c>
      <c r="D393" t="s">
        <v>137</v>
      </c>
      <c r="E393" t="s">
        <v>844</v>
      </c>
      <c r="F393" t="s">
        <v>44</v>
      </c>
      <c r="G393">
        <v>55</v>
      </c>
      <c r="H393" t="s">
        <v>845</v>
      </c>
      <c r="I393" s="29" t="s">
        <v>846</v>
      </c>
      <c r="J393" t="s">
        <v>847</v>
      </c>
      <c r="K393" t="s">
        <v>848</v>
      </c>
      <c r="L393" t="s">
        <v>849</v>
      </c>
      <c r="M393" s="35" t="s">
        <v>850</v>
      </c>
      <c r="N393" t="s">
        <v>422</v>
      </c>
      <c r="O393" s="35" t="s">
        <v>851</v>
      </c>
      <c r="P393" t="s">
        <v>852</v>
      </c>
      <c r="Q393" t="s">
        <v>853</v>
      </c>
    </row>
    <row r="394" spans="1:18" x14ac:dyDescent="0.2">
      <c r="A394" t="s">
        <v>59</v>
      </c>
      <c r="B394">
        <v>2024</v>
      </c>
      <c r="C394">
        <v>3</v>
      </c>
      <c r="D394" t="s">
        <v>77</v>
      </c>
      <c r="E394" t="s">
        <v>854</v>
      </c>
      <c r="F394" t="s">
        <v>44</v>
      </c>
      <c r="G394">
        <v>65</v>
      </c>
      <c r="H394">
        <v>24</v>
      </c>
      <c r="I394">
        <v>5.7</v>
      </c>
      <c r="J394">
        <v>24</v>
      </c>
      <c r="K394">
        <v>24</v>
      </c>
      <c r="L394">
        <v>54.2</v>
      </c>
      <c r="M394">
        <v>-37</v>
      </c>
      <c r="N394" t="s">
        <v>422</v>
      </c>
      <c r="O394">
        <v>-27</v>
      </c>
      <c r="P394" t="s">
        <v>427</v>
      </c>
      <c r="Q394">
        <v>113</v>
      </c>
      <c r="R394" t="s">
        <v>855</v>
      </c>
    </row>
    <row r="395" spans="1:18" x14ac:dyDescent="0.2">
      <c r="A395" t="s">
        <v>87</v>
      </c>
      <c r="B395">
        <v>2024</v>
      </c>
      <c r="C395">
        <v>3</v>
      </c>
      <c r="D395" t="s">
        <v>487</v>
      </c>
      <c r="E395" t="s">
        <v>856</v>
      </c>
      <c r="F395" t="s">
        <v>44</v>
      </c>
      <c r="G395">
        <v>40</v>
      </c>
      <c r="H395" t="s">
        <v>857</v>
      </c>
      <c r="I395" t="s">
        <v>858</v>
      </c>
      <c r="J395" t="s">
        <v>859</v>
      </c>
      <c r="K395" t="s">
        <v>860</v>
      </c>
      <c r="L395" t="s">
        <v>861</v>
      </c>
      <c r="M395" t="s">
        <v>862</v>
      </c>
      <c r="N395" t="s">
        <v>422</v>
      </c>
      <c r="O395" t="s">
        <v>863</v>
      </c>
      <c r="P395" t="s">
        <v>864</v>
      </c>
      <c r="Q395" t="s">
        <v>865</v>
      </c>
    </row>
    <row r="396" spans="1:18" x14ac:dyDescent="0.2">
      <c r="A396" t="s">
        <v>45</v>
      </c>
      <c r="B396">
        <v>2024</v>
      </c>
      <c r="C396">
        <v>3</v>
      </c>
      <c r="D396" t="s">
        <v>151</v>
      </c>
      <c r="E396" t="s">
        <v>866</v>
      </c>
      <c r="F396" t="s">
        <v>44</v>
      </c>
      <c r="G396">
        <v>130</v>
      </c>
      <c r="H396">
        <v>2.35</v>
      </c>
      <c r="I396">
        <v>4.51</v>
      </c>
      <c r="J396">
        <v>2.4</v>
      </c>
      <c r="K396">
        <v>5</v>
      </c>
      <c r="L396">
        <v>13.96</v>
      </c>
      <c r="M396">
        <v>-23</v>
      </c>
      <c r="N396" t="s">
        <v>422</v>
      </c>
      <c r="O396">
        <v>-16.600000000000001</v>
      </c>
      <c r="P396" t="s">
        <v>427</v>
      </c>
      <c r="Q396">
        <v>0.27600000000000002</v>
      </c>
    </row>
    <row r="397" spans="1:18" x14ac:dyDescent="0.2">
      <c r="A397" t="s">
        <v>84</v>
      </c>
      <c r="B397">
        <v>2024</v>
      </c>
      <c r="C397">
        <v>3</v>
      </c>
      <c r="D397" t="s">
        <v>246</v>
      </c>
      <c r="E397" t="s">
        <v>867</v>
      </c>
      <c r="F397" t="s">
        <v>44</v>
      </c>
      <c r="G397">
        <v>65</v>
      </c>
      <c r="H397">
        <v>53</v>
      </c>
      <c r="I397">
        <v>6.3</v>
      </c>
      <c r="J397">
        <v>60</v>
      </c>
      <c r="K397">
        <v>7.5</v>
      </c>
      <c r="L397">
        <v>20</v>
      </c>
      <c r="M397">
        <v>-15.6</v>
      </c>
      <c r="N397" t="s">
        <v>422</v>
      </c>
      <c r="O397" t="s">
        <v>427</v>
      </c>
      <c r="P397">
        <v>13.5</v>
      </c>
      <c r="Q397">
        <v>38.4</v>
      </c>
    </row>
    <row r="398" spans="1:18" x14ac:dyDescent="0.2">
      <c r="A398" t="s">
        <v>84</v>
      </c>
      <c r="B398">
        <v>2024</v>
      </c>
      <c r="C398">
        <v>3</v>
      </c>
      <c r="D398" t="s">
        <v>97</v>
      </c>
      <c r="E398" t="s">
        <v>868</v>
      </c>
      <c r="F398" t="s">
        <v>44</v>
      </c>
      <c r="G398">
        <v>40</v>
      </c>
      <c r="H398">
        <v>63</v>
      </c>
      <c r="I398">
        <v>4.2</v>
      </c>
      <c r="J398">
        <v>80.5</v>
      </c>
      <c r="K398">
        <v>5.9</v>
      </c>
      <c r="L398">
        <v>15</v>
      </c>
      <c r="M398" t="s">
        <v>427</v>
      </c>
      <c r="N398" t="s">
        <v>427</v>
      </c>
      <c r="O398" t="s">
        <v>427</v>
      </c>
      <c r="P398">
        <v>21</v>
      </c>
      <c r="Q398">
        <v>20.7</v>
      </c>
    </row>
    <row r="399" spans="1:18" x14ac:dyDescent="0.2">
      <c r="A399" t="s">
        <v>84</v>
      </c>
      <c r="B399">
        <v>2024</v>
      </c>
      <c r="C399">
        <v>2</v>
      </c>
      <c r="D399" t="s">
        <v>869</v>
      </c>
      <c r="E399" t="s">
        <v>870</v>
      </c>
      <c r="F399" t="s">
        <v>55</v>
      </c>
      <c r="G399">
        <v>180</v>
      </c>
      <c r="H399">
        <v>13</v>
      </c>
      <c r="I399">
        <v>3</v>
      </c>
      <c r="J399">
        <v>13</v>
      </c>
      <c r="K399">
        <v>3</v>
      </c>
      <c r="L399">
        <v>18</v>
      </c>
      <c r="M399">
        <v>-14</v>
      </c>
      <c r="N399" t="s">
        <v>422</v>
      </c>
      <c r="O399" t="s">
        <v>427</v>
      </c>
      <c r="P399">
        <v>5.9</v>
      </c>
      <c r="Q399">
        <v>11.5</v>
      </c>
    </row>
    <row r="400" spans="1:18" x14ac:dyDescent="0.2">
      <c r="A400" t="s">
        <v>59</v>
      </c>
      <c r="B400">
        <v>2024</v>
      </c>
      <c r="C400">
        <v>2</v>
      </c>
      <c r="D400" t="s">
        <v>46</v>
      </c>
      <c r="E400" t="s">
        <v>871</v>
      </c>
      <c r="F400" t="s">
        <v>55</v>
      </c>
      <c r="G400">
        <v>130</v>
      </c>
      <c r="H400">
        <v>6</v>
      </c>
      <c r="I400">
        <v>0.8</v>
      </c>
      <c r="J400">
        <v>6</v>
      </c>
      <c r="K400">
        <v>0.8</v>
      </c>
      <c r="L400">
        <v>36</v>
      </c>
      <c r="M400">
        <v>-5</v>
      </c>
      <c r="N400" t="s">
        <v>453</v>
      </c>
      <c r="O400" t="s">
        <v>700</v>
      </c>
      <c r="P400">
        <v>8.6999999999999993</v>
      </c>
      <c r="Q400">
        <v>8.1999999999999993</v>
      </c>
      <c r="R400" t="s">
        <v>872</v>
      </c>
    </row>
    <row r="401" spans="1:18" x14ac:dyDescent="0.2">
      <c r="A401" t="s">
        <v>59</v>
      </c>
      <c r="B401">
        <v>2024</v>
      </c>
      <c r="C401">
        <v>2</v>
      </c>
      <c r="D401" t="s">
        <v>487</v>
      </c>
      <c r="E401" t="s">
        <v>873</v>
      </c>
      <c r="F401" t="s">
        <v>44</v>
      </c>
      <c r="G401">
        <v>40</v>
      </c>
      <c r="H401" t="s">
        <v>874</v>
      </c>
      <c r="I401" t="s">
        <v>875</v>
      </c>
      <c r="J401" s="37" t="s">
        <v>876</v>
      </c>
      <c r="K401" s="37" t="s">
        <v>877</v>
      </c>
      <c r="L401" t="s">
        <v>878</v>
      </c>
      <c r="M401" t="s">
        <v>879</v>
      </c>
      <c r="N401" t="s">
        <v>422</v>
      </c>
      <c r="O401" t="s">
        <v>880</v>
      </c>
      <c r="P401" t="s">
        <v>881</v>
      </c>
      <c r="Q401" t="s">
        <v>882</v>
      </c>
      <c r="R401" t="s">
        <v>883</v>
      </c>
    </row>
    <row r="402" spans="1:18" x14ac:dyDescent="0.2">
      <c r="A402" t="s">
        <v>59</v>
      </c>
      <c r="B402">
        <v>2024</v>
      </c>
      <c r="C402">
        <v>1</v>
      </c>
      <c r="D402" t="s">
        <v>166</v>
      </c>
      <c r="E402" t="s">
        <v>884</v>
      </c>
      <c r="F402" t="s">
        <v>44</v>
      </c>
      <c r="G402">
        <v>65</v>
      </c>
      <c r="H402">
        <v>36</v>
      </c>
      <c r="I402">
        <v>2.2000000000000002</v>
      </c>
      <c r="J402">
        <v>38</v>
      </c>
      <c r="K402">
        <v>2.5</v>
      </c>
      <c r="L402">
        <v>19.2</v>
      </c>
      <c r="M402" t="s">
        <v>427</v>
      </c>
      <c r="N402" t="s">
        <v>427</v>
      </c>
      <c r="O402">
        <v>-7.6</v>
      </c>
      <c r="P402">
        <v>20</v>
      </c>
      <c r="Q402">
        <v>22</v>
      </c>
    </row>
    <row r="403" spans="1:18" x14ac:dyDescent="0.2">
      <c r="A403" t="s">
        <v>59</v>
      </c>
      <c r="B403">
        <v>2024</v>
      </c>
      <c r="C403">
        <v>1</v>
      </c>
      <c r="D403" t="s">
        <v>106</v>
      </c>
      <c r="E403" t="s">
        <v>885</v>
      </c>
      <c r="F403" t="s">
        <v>55</v>
      </c>
      <c r="G403">
        <v>90</v>
      </c>
      <c r="H403">
        <v>6</v>
      </c>
      <c r="I403">
        <v>1.8</v>
      </c>
      <c r="J403">
        <v>14</v>
      </c>
      <c r="K403">
        <v>2.7</v>
      </c>
      <c r="L403">
        <v>26.6</v>
      </c>
      <c r="M403">
        <v>-48.5</v>
      </c>
      <c r="N403" t="s">
        <v>422</v>
      </c>
      <c r="O403" t="s">
        <v>427</v>
      </c>
      <c r="P403">
        <v>22.4</v>
      </c>
      <c r="Q403">
        <v>112.5</v>
      </c>
      <c r="R403" t="s">
        <v>67</v>
      </c>
    </row>
    <row r="404" spans="1:18" x14ac:dyDescent="0.2">
      <c r="A404" t="s">
        <v>45</v>
      </c>
      <c r="B404">
        <v>2024</v>
      </c>
      <c r="C404">
        <v>1</v>
      </c>
      <c r="D404" t="s">
        <v>65</v>
      </c>
      <c r="E404" t="s">
        <v>886</v>
      </c>
      <c r="F404" t="s">
        <v>44</v>
      </c>
      <c r="G404">
        <v>28</v>
      </c>
      <c r="H404" t="s">
        <v>887</v>
      </c>
      <c r="I404" t="s">
        <v>888</v>
      </c>
      <c r="J404" t="s">
        <v>887</v>
      </c>
      <c r="K404" t="s">
        <v>888</v>
      </c>
      <c r="L404" t="s">
        <v>889</v>
      </c>
      <c r="M404" t="s">
        <v>427</v>
      </c>
      <c r="N404" t="s">
        <v>427</v>
      </c>
      <c r="O404" s="32" t="s">
        <v>890</v>
      </c>
      <c r="P404" t="s">
        <v>891</v>
      </c>
      <c r="Q404" t="s">
        <v>892</v>
      </c>
    </row>
    <row r="405" spans="1:18" x14ac:dyDescent="0.2">
      <c r="A405" t="s">
        <v>87</v>
      </c>
      <c r="B405">
        <v>2024</v>
      </c>
      <c r="C405">
        <v>1</v>
      </c>
      <c r="D405" t="s">
        <v>815</v>
      </c>
      <c r="E405" t="s">
        <v>893</v>
      </c>
      <c r="F405" t="s">
        <v>51</v>
      </c>
      <c r="G405">
        <v>65</v>
      </c>
      <c r="H405">
        <v>19.5</v>
      </c>
      <c r="I405">
        <v>2.42</v>
      </c>
      <c r="J405">
        <v>19.5</v>
      </c>
      <c r="K405">
        <v>2.42</v>
      </c>
      <c r="L405">
        <v>15.5</v>
      </c>
      <c r="M405" t="s">
        <v>427</v>
      </c>
      <c r="N405" t="s">
        <v>427</v>
      </c>
      <c r="O405" t="s">
        <v>427</v>
      </c>
      <c r="P405">
        <v>3.5</v>
      </c>
      <c r="Q405">
        <v>482.4</v>
      </c>
      <c r="R405" t="s">
        <v>182</v>
      </c>
    </row>
    <row r="406" spans="1:18" x14ac:dyDescent="0.2">
      <c r="A406" t="s">
        <v>59</v>
      </c>
      <c r="B406">
        <v>2024</v>
      </c>
      <c r="C406">
        <v>1</v>
      </c>
      <c r="D406" t="s">
        <v>894</v>
      </c>
      <c r="E406" t="s">
        <v>895</v>
      </c>
      <c r="F406" t="s">
        <v>44</v>
      </c>
      <c r="G406">
        <v>40</v>
      </c>
      <c r="H406">
        <v>23.3</v>
      </c>
      <c r="I406">
        <v>2.8</v>
      </c>
      <c r="J406">
        <v>28</v>
      </c>
      <c r="K406">
        <v>3.5</v>
      </c>
      <c r="L406">
        <v>12.3</v>
      </c>
      <c r="M406">
        <v>-7.7</v>
      </c>
      <c r="N406" t="s">
        <v>422</v>
      </c>
      <c r="O406">
        <v>2</v>
      </c>
      <c r="P406">
        <v>11.8</v>
      </c>
      <c r="Q406">
        <v>8.5</v>
      </c>
    </row>
    <row r="407" spans="1:18" x14ac:dyDescent="0.2">
      <c r="A407" t="s">
        <v>45</v>
      </c>
      <c r="B407">
        <v>2024</v>
      </c>
      <c r="C407">
        <v>1</v>
      </c>
      <c r="D407" t="s">
        <v>251</v>
      </c>
      <c r="E407" t="s">
        <v>896</v>
      </c>
      <c r="F407" t="s">
        <v>44</v>
      </c>
      <c r="G407">
        <v>40</v>
      </c>
      <c r="H407">
        <v>68.5</v>
      </c>
      <c r="I407">
        <v>3.78</v>
      </c>
      <c r="J407">
        <v>63</v>
      </c>
      <c r="K407">
        <v>4</v>
      </c>
      <c r="L407">
        <v>22.4</v>
      </c>
      <c r="M407">
        <v>-11</v>
      </c>
      <c r="N407" t="s">
        <v>422</v>
      </c>
      <c r="O407" t="s">
        <v>427</v>
      </c>
      <c r="P407">
        <v>22.1</v>
      </c>
      <c r="Q407">
        <v>26</v>
      </c>
    </row>
    <row r="408" spans="1:18" x14ac:dyDescent="0.2">
      <c r="A408" t="s">
        <v>84</v>
      </c>
      <c r="B408">
        <v>2024</v>
      </c>
      <c r="C408">
        <v>1</v>
      </c>
      <c r="D408" t="s">
        <v>897</v>
      </c>
      <c r="E408" t="s">
        <v>898</v>
      </c>
      <c r="F408" t="s">
        <v>51</v>
      </c>
      <c r="G408">
        <v>130</v>
      </c>
      <c r="H408">
        <v>24</v>
      </c>
      <c r="I408">
        <v>2.75</v>
      </c>
      <c r="J408">
        <v>25</v>
      </c>
      <c r="K408">
        <v>3.07</v>
      </c>
      <c r="L408">
        <v>13.2</v>
      </c>
      <c r="M408">
        <v>-10</v>
      </c>
      <c r="N408" t="s">
        <v>422</v>
      </c>
      <c r="O408">
        <v>6</v>
      </c>
      <c r="P408">
        <v>6</v>
      </c>
      <c r="Q408">
        <v>32.67</v>
      </c>
    </row>
    <row r="409" spans="1:18" x14ac:dyDescent="0.2">
      <c r="A409" t="s">
        <v>84</v>
      </c>
      <c r="B409">
        <v>2024</v>
      </c>
      <c r="C409">
        <v>1</v>
      </c>
      <c r="D409" t="s">
        <v>477</v>
      </c>
      <c r="E409" t="s">
        <v>899</v>
      </c>
      <c r="F409" t="s">
        <v>44</v>
      </c>
      <c r="G409">
        <v>65</v>
      </c>
      <c r="H409">
        <v>13</v>
      </c>
      <c r="I409">
        <v>1.94</v>
      </c>
      <c r="J409">
        <v>13</v>
      </c>
      <c r="K409">
        <v>1.94</v>
      </c>
      <c r="L409">
        <v>17.600000000000001</v>
      </c>
      <c r="M409">
        <v>-7.8</v>
      </c>
      <c r="N409" t="s">
        <v>422</v>
      </c>
      <c r="O409" t="s">
        <v>427</v>
      </c>
      <c r="P409">
        <v>5</v>
      </c>
      <c r="Q409">
        <v>10</v>
      </c>
    </row>
    <row r="410" spans="1:18" x14ac:dyDescent="0.2">
      <c r="A410" t="s">
        <v>87</v>
      </c>
      <c r="B410">
        <v>2024</v>
      </c>
      <c r="C410">
        <v>1</v>
      </c>
      <c r="D410" t="s">
        <v>77</v>
      </c>
      <c r="E410" t="s">
        <v>900</v>
      </c>
      <c r="F410" t="s">
        <v>55</v>
      </c>
      <c r="G410">
        <v>130</v>
      </c>
      <c r="H410">
        <v>4.2</v>
      </c>
      <c r="I410">
        <v>1.4</v>
      </c>
      <c r="J410">
        <v>14</v>
      </c>
      <c r="K410">
        <v>2.2000000000000002</v>
      </c>
      <c r="L410">
        <v>26</v>
      </c>
      <c r="M410">
        <v>-18</v>
      </c>
      <c r="N410" t="s">
        <v>587</v>
      </c>
      <c r="O410">
        <v>-9</v>
      </c>
      <c r="P410">
        <v>26</v>
      </c>
      <c r="Q410">
        <v>85</v>
      </c>
    </row>
    <row r="411" spans="1:18" x14ac:dyDescent="0.2">
      <c r="A411" t="s">
        <v>115</v>
      </c>
      <c r="B411">
        <v>2023</v>
      </c>
      <c r="C411">
        <v>12</v>
      </c>
      <c r="D411" t="s">
        <v>901</v>
      </c>
      <c r="E411" t="s">
        <v>902</v>
      </c>
      <c r="F411" t="s">
        <v>44</v>
      </c>
      <c r="G411">
        <v>90</v>
      </c>
      <c r="H411">
        <v>35</v>
      </c>
      <c r="I411">
        <v>3.2</v>
      </c>
    </row>
    <row r="412" spans="1:18" x14ac:dyDescent="0.2">
      <c r="A412" t="s">
        <v>115</v>
      </c>
      <c r="B412">
        <v>2023</v>
      </c>
      <c r="C412">
        <v>12</v>
      </c>
      <c r="D412" t="s">
        <v>70</v>
      </c>
      <c r="E412" t="s">
        <v>903</v>
      </c>
      <c r="F412" t="s">
        <v>44</v>
      </c>
      <c r="G412">
        <v>180</v>
      </c>
      <c r="H412">
        <v>39</v>
      </c>
      <c r="I412">
        <v>7.3</v>
      </c>
    </row>
    <row r="413" spans="1:18" x14ac:dyDescent="0.2">
      <c r="A413" t="s">
        <v>115</v>
      </c>
      <c r="B413">
        <v>2023</v>
      </c>
      <c r="C413">
        <v>12</v>
      </c>
      <c r="D413" t="s">
        <v>904</v>
      </c>
      <c r="E413" t="s">
        <v>905</v>
      </c>
      <c r="F413" t="s">
        <v>51</v>
      </c>
      <c r="G413">
        <v>22</v>
      </c>
      <c r="H413">
        <v>28</v>
      </c>
      <c r="I413">
        <v>2.2000000000000002</v>
      </c>
    </row>
    <row r="414" spans="1:18" x14ac:dyDescent="0.2">
      <c r="A414" t="s">
        <v>115</v>
      </c>
      <c r="B414">
        <v>2023</v>
      </c>
      <c r="C414">
        <v>12</v>
      </c>
      <c r="D414" t="s">
        <v>57</v>
      </c>
      <c r="E414" t="s">
        <v>906</v>
      </c>
      <c r="F414" t="s">
        <v>44</v>
      </c>
      <c r="G414">
        <v>55</v>
      </c>
      <c r="H414">
        <v>10</v>
      </c>
      <c r="I414">
        <v>3</v>
      </c>
    </row>
    <row r="415" spans="1:18" x14ac:dyDescent="0.2">
      <c r="A415" t="s">
        <v>115</v>
      </c>
      <c r="B415">
        <v>2023</v>
      </c>
      <c r="C415">
        <v>12</v>
      </c>
      <c r="D415" t="s">
        <v>246</v>
      </c>
      <c r="E415" t="s">
        <v>907</v>
      </c>
      <c r="F415" t="s">
        <v>44</v>
      </c>
      <c r="G415">
        <v>90</v>
      </c>
      <c r="H415">
        <v>5</v>
      </c>
      <c r="I415">
        <v>2.4700000000000002</v>
      </c>
      <c r="R415" t="s">
        <v>182</v>
      </c>
    </row>
    <row r="416" spans="1:18" x14ac:dyDescent="0.2">
      <c r="A416" t="s">
        <v>115</v>
      </c>
      <c r="B416">
        <v>2023</v>
      </c>
      <c r="C416">
        <v>12</v>
      </c>
      <c r="D416" t="s">
        <v>177</v>
      </c>
      <c r="E416" t="s">
        <v>908</v>
      </c>
      <c r="F416" t="s">
        <v>44</v>
      </c>
      <c r="G416">
        <v>90</v>
      </c>
      <c r="H416">
        <v>50</v>
      </c>
      <c r="I416">
        <v>6.8</v>
      </c>
      <c r="R416" t="s">
        <v>182</v>
      </c>
    </row>
    <row r="417" spans="1:18" x14ac:dyDescent="0.2">
      <c r="A417" t="s">
        <v>115</v>
      </c>
      <c r="B417">
        <v>2023</v>
      </c>
      <c r="C417">
        <v>12</v>
      </c>
      <c r="D417" t="s">
        <v>461</v>
      </c>
      <c r="E417" t="s">
        <v>909</v>
      </c>
      <c r="F417" t="s">
        <v>44</v>
      </c>
      <c r="G417">
        <v>65</v>
      </c>
      <c r="H417">
        <v>29</v>
      </c>
      <c r="I417">
        <v>2.7</v>
      </c>
    </row>
    <row r="418" spans="1:18" x14ac:dyDescent="0.2">
      <c r="A418" t="s">
        <v>115</v>
      </c>
      <c r="B418">
        <v>2023</v>
      </c>
      <c r="C418">
        <v>12</v>
      </c>
      <c r="D418" t="s">
        <v>246</v>
      </c>
      <c r="E418" t="s">
        <v>910</v>
      </c>
      <c r="F418" t="s">
        <v>44</v>
      </c>
      <c r="G418">
        <v>65</v>
      </c>
      <c r="H418">
        <v>31</v>
      </c>
      <c r="I418">
        <v>4.6100000000000003</v>
      </c>
    </row>
    <row r="419" spans="1:18" x14ac:dyDescent="0.2">
      <c r="A419" t="s">
        <v>198</v>
      </c>
      <c r="B419">
        <v>2023</v>
      </c>
      <c r="C419">
        <v>12</v>
      </c>
      <c r="D419" t="s">
        <v>346</v>
      </c>
      <c r="E419" t="s">
        <v>911</v>
      </c>
      <c r="F419" t="s">
        <v>55</v>
      </c>
      <c r="G419">
        <v>130</v>
      </c>
      <c r="H419">
        <v>20</v>
      </c>
      <c r="I419">
        <v>20.100000000000001</v>
      </c>
      <c r="R419" t="s">
        <v>182</v>
      </c>
    </row>
    <row r="420" spans="1:18" x14ac:dyDescent="0.2">
      <c r="A420" t="s">
        <v>198</v>
      </c>
      <c r="B420">
        <v>2023</v>
      </c>
      <c r="C420">
        <v>11</v>
      </c>
      <c r="D420" t="s">
        <v>166</v>
      </c>
      <c r="E420" t="s">
        <v>912</v>
      </c>
      <c r="F420" t="s">
        <v>44</v>
      </c>
      <c r="G420">
        <v>65</v>
      </c>
      <c r="H420">
        <v>27</v>
      </c>
      <c r="I420">
        <v>3.55</v>
      </c>
    </row>
    <row r="421" spans="1:18" x14ac:dyDescent="0.2">
      <c r="A421" t="s">
        <v>124</v>
      </c>
      <c r="B421">
        <v>2023</v>
      </c>
      <c r="C421">
        <v>10</v>
      </c>
      <c r="D421" t="s">
        <v>913</v>
      </c>
      <c r="E421" t="s">
        <v>914</v>
      </c>
      <c r="F421" t="s">
        <v>915</v>
      </c>
      <c r="G421">
        <v>55</v>
      </c>
      <c r="H421">
        <v>1.1299999999999999</v>
      </c>
      <c r="I421">
        <v>1.1299999999999999</v>
      </c>
      <c r="R421" t="s">
        <v>182</v>
      </c>
    </row>
    <row r="422" spans="1:18" ht="16" x14ac:dyDescent="0.2">
      <c r="A422" t="s">
        <v>124</v>
      </c>
      <c r="B422">
        <v>2023</v>
      </c>
      <c r="C422">
        <v>10</v>
      </c>
      <c r="D422" t="s">
        <v>578</v>
      </c>
      <c r="E422" s="5" t="s">
        <v>916</v>
      </c>
      <c r="F422" t="s">
        <v>55</v>
      </c>
      <c r="G422">
        <v>90</v>
      </c>
      <c r="H422">
        <v>17.5</v>
      </c>
      <c r="I422">
        <v>2.9</v>
      </c>
    </row>
    <row r="423" spans="1:18" x14ac:dyDescent="0.2">
      <c r="A423" t="s">
        <v>124</v>
      </c>
      <c r="B423">
        <v>2023</v>
      </c>
      <c r="C423">
        <v>10</v>
      </c>
      <c r="D423" t="s">
        <v>917</v>
      </c>
      <c r="E423" t="s">
        <v>918</v>
      </c>
      <c r="F423" t="s">
        <v>55</v>
      </c>
      <c r="G423">
        <v>90</v>
      </c>
      <c r="H423">
        <v>18.600000000000001</v>
      </c>
      <c r="I423">
        <v>1.32</v>
      </c>
    </row>
    <row r="424" spans="1:18" x14ac:dyDescent="0.2">
      <c r="A424" s="30" t="s">
        <v>335</v>
      </c>
      <c r="B424">
        <v>2023</v>
      </c>
      <c r="C424">
        <v>9</v>
      </c>
      <c r="D424" t="s">
        <v>919</v>
      </c>
      <c r="E424" t="s">
        <v>920</v>
      </c>
      <c r="F424" t="s">
        <v>55</v>
      </c>
      <c r="G424">
        <v>130</v>
      </c>
      <c r="H424">
        <v>18</v>
      </c>
      <c r="I424">
        <v>2.7</v>
      </c>
      <c r="R424" t="s">
        <v>182</v>
      </c>
    </row>
    <row r="425" spans="1:18" x14ac:dyDescent="0.2">
      <c r="A425" s="30" t="s">
        <v>335</v>
      </c>
      <c r="B425">
        <v>2023</v>
      </c>
      <c r="C425">
        <v>9</v>
      </c>
      <c r="D425" t="s">
        <v>674</v>
      </c>
      <c r="E425" t="s">
        <v>921</v>
      </c>
      <c r="F425" t="s">
        <v>51</v>
      </c>
      <c r="G425">
        <v>22</v>
      </c>
      <c r="H425">
        <v>116</v>
      </c>
      <c r="I425">
        <v>6.1</v>
      </c>
    </row>
    <row r="426" spans="1:18" x14ac:dyDescent="0.2">
      <c r="A426" s="30" t="s">
        <v>335</v>
      </c>
      <c r="B426">
        <v>2023</v>
      </c>
      <c r="C426">
        <v>9</v>
      </c>
      <c r="D426" t="s">
        <v>799</v>
      </c>
      <c r="E426" t="s">
        <v>922</v>
      </c>
      <c r="F426" t="s">
        <v>55</v>
      </c>
      <c r="G426">
        <v>55</v>
      </c>
      <c r="H426">
        <v>135</v>
      </c>
      <c r="I426">
        <v>5.2</v>
      </c>
    </row>
    <row r="427" spans="1:18" x14ac:dyDescent="0.2">
      <c r="A427" s="30" t="s">
        <v>335</v>
      </c>
      <c r="B427">
        <v>2023</v>
      </c>
      <c r="C427">
        <v>9</v>
      </c>
      <c r="D427" t="s">
        <v>923</v>
      </c>
      <c r="E427" t="s">
        <v>924</v>
      </c>
      <c r="F427" t="s">
        <v>44</v>
      </c>
      <c r="G427">
        <v>22</v>
      </c>
      <c r="H427" t="s">
        <v>925</v>
      </c>
      <c r="I427" s="32" t="s">
        <v>926</v>
      </c>
      <c r="R427" t="s">
        <v>182</v>
      </c>
    </row>
    <row r="428" spans="1:18" x14ac:dyDescent="0.2">
      <c r="A428" s="30" t="s">
        <v>335</v>
      </c>
      <c r="B428">
        <v>2023</v>
      </c>
      <c r="C428">
        <v>9</v>
      </c>
      <c r="D428" t="s">
        <v>927</v>
      </c>
      <c r="E428" t="s">
        <v>928</v>
      </c>
      <c r="F428" t="s">
        <v>55</v>
      </c>
      <c r="G428">
        <v>130</v>
      </c>
      <c r="H428">
        <v>25</v>
      </c>
      <c r="I428">
        <v>3.8</v>
      </c>
    </row>
    <row r="429" spans="1:18" x14ac:dyDescent="0.2">
      <c r="A429" t="s">
        <v>84</v>
      </c>
      <c r="B429">
        <v>2023</v>
      </c>
      <c r="C429">
        <v>10</v>
      </c>
      <c r="D429" t="s">
        <v>328</v>
      </c>
      <c r="E429" t="s">
        <v>929</v>
      </c>
      <c r="F429" t="s">
        <v>44</v>
      </c>
      <c r="G429">
        <v>65</v>
      </c>
      <c r="H429">
        <v>2.4</v>
      </c>
      <c r="I429">
        <v>3.5</v>
      </c>
    </row>
    <row r="430" spans="1:18" x14ac:dyDescent="0.2">
      <c r="A430" t="s">
        <v>84</v>
      </c>
      <c r="B430">
        <v>2023</v>
      </c>
      <c r="C430">
        <v>10</v>
      </c>
      <c r="D430" t="s">
        <v>210</v>
      </c>
      <c r="E430" t="s">
        <v>930</v>
      </c>
      <c r="F430" t="s">
        <v>44</v>
      </c>
      <c r="G430">
        <v>55</v>
      </c>
      <c r="H430">
        <v>22.6</v>
      </c>
      <c r="I430">
        <v>4.04</v>
      </c>
    </row>
    <row r="431" spans="1:18" x14ac:dyDescent="0.2">
      <c r="A431" t="s">
        <v>45</v>
      </c>
      <c r="B431">
        <v>2023</v>
      </c>
      <c r="C431">
        <v>10</v>
      </c>
      <c r="D431" t="s">
        <v>931</v>
      </c>
      <c r="E431" t="s">
        <v>932</v>
      </c>
      <c r="F431" t="s">
        <v>418</v>
      </c>
      <c r="G431">
        <v>22</v>
      </c>
      <c r="H431">
        <v>2.5</v>
      </c>
      <c r="I431">
        <v>12.4</v>
      </c>
      <c r="R431" t="s">
        <v>933</v>
      </c>
    </row>
    <row r="432" spans="1:18" x14ac:dyDescent="0.2">
      <c r="A432" t="s">
        <v>45</v>
      </c>
      <c r="B432">
        <v>2023</v>
      </c>
      <c r="C432">
        <v>10</v>
      </c>
      <c r="D432" t="s">
        <v>166</v>
      </c>
      <c r="E432" t="s">
        <v>934</v>
      </c>
      <c r="F432" t="s">
        <v>44</v>
      </c>
      <c r="G432">
        <v>28</v>
      </c>
      <c r="H432">
        <v>40</v>
      </c>
      <c r="I432">
        <v>3.5</v>
      </c>
      <c r="R432" t="s">
        <v>182</v>
      </c>
    </row>
    <row r="433" spans="1:18" x14ac:dyDescent="0.2">
      <c r="A433" t="s">
        <v>45</v>
      </c>
      <c r="B433">
        <v>2023</v>
      </c>
      <c r="C433">
        <v>10</v>
      </c>
      <c r="D433" t="s">
        <v>129</v>
      </c>
      <c r="E433" t="s">
        <v>935</v>
      </c>
      <c r="F433" t="s">
        <v>44</v>
      </c>
      <c r="G433">
        <v>65</v>
      </c>
      <c r="H433">
        <v>29</v>
      </c>
      <c r="I433">
        <v>3.6</v>
      </c>
      <c r="R433" t="s">
        <v>182</v>
      </c>
    </row>
    <row r="434" spans="1:18" x14ac:dyDescent="0.2">
      <c r="A434" t="s">
        <v>84</v>
      </c>
      <c r="B434">
        <v>2023</v>
      </c>
      <c r="C434">
        <v>9</v>
      </c>
      <c r="D434" t="s">
        <v>166</v>
      </c>
      <c r="E434" t="s">
        <v>936</v>
      </c>
      <c r="F434" t="s">
        <v>937</v>
      </c>
      <c r="G434">
        <v>40</v>
      </c>
      <c r="H434">
        <v>150</v>
      </c>
      <c r="I434">
        <v>6.2</v>
      </c>
    </row>
    <row r="435" spans="1:18" x14ac:dyDescent="0.2">
      <c r="A435" t="s">
        <v>306</v>
      </c>
      <c r="B435">
        <v>2023</v>
      </c>
      <c r="C435">
        <v>9</v>
      </c>
      <c r="D435" t="s">
        <v>70</v>
      </c>
      <c r="E435" t="s">
        <v>938</v>
      </c>
      <c r="F435" t="s">
        <v>44</v>
      </c>
      <c r="G435">
        <v>65</v>
      </c>
      <c r="H435">
        <v>26</v>
      </c>
      <c r="I435">
        <v>5.0999999999999996</v>
      </c>
      <c r="R435" t="s">
        <v>182</v>
      </c>
    </row>
    <row r="436" spans="1:18" x14ac:dyDescent="0.2">
      <c r="A436" t="s">
        <v>56</v>
      </c>
      <c r="B436">
        <v>2023</v>
      </c>
      <c r="C436">
        <v>6</v>
      </c>
      <c r="D436" t="s">
        <v>544</v>
      </c>
      <c r="E436" t="s">
        <v>939</v>
      </c>
      <c r="F436" t="s">
        <v>55</v>
      </c>
      <c r="G436">
        <v>130</v>
      </c>
      <c r="H436">
        <v>195</v>
      </c>
      <c r="I436">
        <v>9</v>
      </c>
    </row>
    <row r="437" spans="1:18" x14ac:dyDescent="0.2">
      <c r="A437" t="s">
        <v>56</v>
      </c>
      <c r="B437">
        <v>2023</v>
      </c>
      <c r="C437">
        <v>6</v>
      </c>
      <c r="D437" t="s">
        <v>487</v>
      </c>
      <c r="E437" t="s">
        <v>940</v>
      </c>
      <c r="F437" t="s">
        <v>44</v>
      </c>
      <c r="G437">
        <v>40</v>
      </c>
      <c r="H437">
        <v>1.8</v>
      </c>
      <c r="I437">
        <v>0.63</v>
      </c>
    </row>
    <row r="438" spans="1:18" x14ac:dyDescent="0.2">
      <c r="A438" t="s">
        <v>56</v>
      </c>
      <c r="B438">
        <v>2023</v>
      </c>
      <c r="C438">
        <v>6</v>
      </c>
      <c r="D438" t="s">
        <v>941</v>
      </c>
      <c r="E438" t="s">
        <v>942</v>
      </c>
      <c r="F438" t="s">
        <v>425</v>
      </c>
      <c r="G438">
        <v>45</v>
      </c>
      <c r="H438" t="s">
        <v>943</v>
      </c>
      <c r="I438" t="s">
        <v>944</v>
      </c>
    </row>
    <row r="439" spans="1:18" x14ac:dyDescent="0.2">
      <c r="A439" t="s">
        <v>56</v>
      </c>
      <c r="B439">
        <v>2023</v>
      </c>
      <c r="C439">
        <v>6</v>
      </c>
      <c r="D439" t="s">
        <v>49</v>
      </c>
      <c r="E439" t="s">
        <v>945</v>
      </c>
      <c r="F439" t="s">
        <v>44</v>
      </c>
      <c r="G439">
        <v>55</v>
      </c>
      <c r="H439">
        <v>89</v>
      </c>
      <c r="I439">
        <v>6.39</v>
      </c>
    </row>
    <row r="440" spans="1:18" x14ac:dyDescent="0.2">
      <c r="A440" t="s">
        <v>56</v>
      </c>
      <c r="B440">
        <v>2023</v>
      </c>
      <c r="C440">
        <v>6</v>
      </c>
      <c r="D440" t="s">
        <v>166</v>
      </c>
      <c r="E440" t="s">
        <v>946</v>
      </c>
      <c r="F440" t="s">
        <v>44</v>
      </c>
      <c r="G440">
        <v>40</v>
      </c>
      <c r="H440">
        <v>137</v>
      </c>
      <c r="I440">
        <v>7.9</v>
      </c>
    </row>
    <row r="441" spans="1:18" x14ac:dyDescent="0.2">
      <c r="A441" t="s">
        <v>56</v>
      </c>
      <c r="B441">
        <v>2023</v>
      </c>
      <c r="C441">
        <v>6</v>
      </c>
      <c r="D441" t="s">
        <v>947</v>
      </c>
      <c r="E441" t="s">
        <v>948</v>
      </c>
      <c r="F441" t="s">
        <v>425</v>
      </c>
      <c r="G441">
        <v>45</v>
      </c>
      <c r="H441">
        <v>61</v>
      </c>
      <c r="I441">
        <v>4.2</v>
      </c>
    </row>
    <row r="442" spans="1:18" x14ac:dyDescent="0.2">
      <c r="A442" t="s">
        <v>56</v>
      </c>
      <c r="B442">
        <v>2023</v>
      </c>
      <c r="C442">
        <v>6</v>
      </c>
      <c r="D442" t="s">
        <v>949</v>
      </c>
      <c r="E442" t="s">
        <v>950</v>
      </c>
      <c r="F442" t="s">
        <v>44</v>
      </c>
      <c r="G442">
        <v>65</v>
      </c>
      <c r="H442">
        <v>24.5</v>
      </c>
      <c r="I442">
        <v>6.7</v>
      </c>
      <c r="R442" t="s">
        <v>182</v>
      </c>
    </row>
    <row r="443" spans="1:18" x14ac:dyDescent="0.2">
      <c r="A443" t="s">
        <v>48</v>
      </c>
      <c r="B443">
        <v>2023</v>
      </c>
      <c r="C443">
        <v>6</v>
      </c>
      <c r="D443" t="s">
        <v>951</v>
      </c>
      <c r="E443" t="s">
        <v>952</v>
      </c>
      <c r="F443" t="s">
        <v>51</v>
      </c>
      <c r="G443">
        <v>22</v>
      </c>
      <c r="H443">
        <v>140</v>
      </c>
      <c r="I443">
        <v>7.5</v>
      </c>
      <c r="R443" t="s">
        <v>182</v>
      </c>
    </row>
    <row r="444" spans="1:18" x14ac:dyDescent="0.2">
      <c r="A444" t="s">
        <v>48</v>
      </c>
      <c r="B444">
        <v>2023</v>
      </c>
      <c r="C444">
        <v>6</v>
      </c>
      <c r="D444" t="s">
        <v>953</v>
      </c>
      <c r="E444" t="s">
        <v>954</v>
      </c>
      <c r="F444" t="s">
        <v>55</v>
      </c>
      <c r="G444">
        <v>130</v>
      </c>
      <c r="H444">
        <v>155</v>
      </c>
      <c r="I444">
        <v>8.4</v>
      </c>
    </row>
    <row r="445" spans="1:18" x14ac:dyDescent="0.2">
      <c r="A445" t="s">
        <v>48</v>
      </c>
      <c r="B445">
        <v>2023</v>
      </c>
      <c r="C445">
        <v>6</v>
      </c>
      <c r="D445" t="s">
        <v>416</v>
      </c>
      <c r="E445" t="s">
        <v>955</v>
      </c>
      <c r="F445" t="s">
        <v>418</v>
      </c>
      <c r="G445">
        <v>16</v>
      </c>
      <c r="H445">
        <v>78.5</v>
      </c>
      <c r="I445">
        <v>5.5</v>
      </c>
    </row>
    <row r="446" spans="1:18" x14ac:dyDescent="0.2">
      <c r="A446" t="s">
        <v>48</v>
      </c>
      <c r="B446">
        <v>2023</v>
      </c>
      <c r="C446">
        <v>6</v>
      </c>
      <c r="D446" t="s">
        <v>65</v>
      </c>
      <c r="E446" t="s">
        <v>956</v>
      </c>
      <c r="F446" t="s">
        <v>44</v>
      </c>
      <c r="G446">
        <v>28</v>
      </c>
      <c r="H446" t="s">
        <v>957</v>
      </c>
      <c r="I446" t="s">
        <v>888</v>
      </c>
    </row>
    <row r="447" spans="1:18" x14ac:dyDescent="0.2">
      <c r="A447" t="s">
        <v>48</v>
      </c>
      <c r="B447">
        <v>2023</v>
      </c>
      <c r="C447">
        <v>6</v>
      </c>
      <c r="D447" t="s">
        <v>106</v>
      </c>
      <c r="E447" t="s">
        <v>958</v>
      </c>
      <c r="F447" t="s">
        <v>55</v>
      </c>
      <c r="G447">
        <v>90</v>
      </c>
      <c r="H447">
        <v>10</v>
      </c>
      <c r="I447">
        <v>2.1</v>
      </c>
    </row>
    <row r="448" spans="1:18" x14ac:dyDescent="0.2">
      <c r="A448" t="s">
        <v>48</v>
      </c>
      <c r="B448">
        <v>2023</v>
      </c>
      <c r="C448">
        <v>6</v>
      </c>
      <c r="D448" t="s">
        <v>799</v>
      </c>
      <c r="E448" t="s">
        <v>959</v>
      </c>
      <c r="F448" t="s">
        <v>55</v>
      </c>
      <c r="G448">
        <v>55</v>
      </c>
      <c r="H448">
        <v>150</v>
      </c>
      <c r="I448">
        <v>5</v>
      </c>
      <c r="R448" t="s">
        <v>960</v>
      </c>
    </row>
    <row r="449" spans="1:18" x14ac:dyDescent="0.2">
      <c r="A449" t="s">
        <v>48</v>
      </c>
      <c r="B449">
        <v>2023</v>
      </c>
      <c r="C449">
        <v>6</v>
      </c>
      <c r="D449" t="s">
        <v>166</v>
      </c>
      <c r="E449" t="s">
        <v>961</v>
      </c>
      <c r="F449" t="s">
        <v>44</v>
      </c>
      <c r="G449">
        <v>65</v>
      </c>
      <c r="H449">
        <v>38</v>
      </c>
      <c r="I449">
        <v>2.2000000000000002</v>
      </c>
    </row>
    <row r="450" spans="1:18" x14ac:dyDescent="0.2">
      <c r="A450" t="s">
        <v>48</v>
      </c>
      <c r="B450">
        <v>2023</v>
      </c>
      <c r="C450">
        <v>6</v>
      </c>
      <c r="D450" t="s">
        <v>483</v>
      </c>
      <c r="E450" t="s">
        <v>962</v>
      </c>
      <c r="F450" t="s">
        <v>44</v>
      </c>
      <c r="G450">
        <v>28</v>
      </c>
      <c r="H450">
        <v>25</v>
      </c>
      <c r="I450">
        <v>3.3</v>
      </c>
    </row>
    <row r="451" spans="1:18" x14ac:dyDescent="0.2">
      <c r="A451" t="s">
        <v>48</v>
      </c>
      <c r="B451">
        <v>2023</v>
      </c>
      <c r="C451">
        <v>6</v>
      </c>
      <c r="D451" t="s">
        <v>145</v>
      </c>
      <c r="E451" t="s">
        <v>963</v>
      </c>
      <c r="F451" t="s">
        <v>44</v>
      </c>
      <c r="G451">
        <v>65</v>
      </c>
      <c r="H451">
        <v>0.81030000000000002</v>
      </c>
      <c r="I451">
        <v>2</v>
      </c>
    </row>
    <row r="452" spans="1:18" x14ac:dyDescent="0.2">
      <c r="A452" t="s">
        <v>48</v>
      </c>
      <c r="B452">
        <v>2023</v>
      </c>
      <c r="C452">
        <v>6</v>
      </c>
      <c r="D452" t="s">
        <v>615</v>
      </c>
      <c r="E452" t="s">
        <v>964</v>
      </c>
      <c r="F452" t="s">
        <v>51</v>
      </c>
      <c r="G452">
        <v>22</v>
      </c>
      <c r="H452">
        <v>35</v>
      </c>
      <c r="I452">
        <v>2.2999999999999998</v>
      </c>
    </row>
    <row r="453" spans="1:18" x14ac:dyDescent="0.2">
      <c r="A453" t="s">
        <v>48</v>
      </c>
      <c r="B453">
        <v>2023</v>
      </c>
      <c r="C453">
        <v>6</v>
      </c>
      <c r="D453" t="s">
        <v>147</v>
      </c>
      <c r="E453" t="s">
        <v>965</v>
      </c>
      <c r="F453" t="s">
        <v>44</v>
      </c>
      <c r="G453">
        <v>65</v>
      </c>
      <c r="H453">
        <v>26</v>
      </c>
      <c r="I453">
        <v>3.4</v>
      </c>
      <c r="R453" t="s">
        <v>182</v>
      </c>
    </row>
    <row r="454" spans="1:18" x14ac:dyDescent="0.2">
      <c r="A454" t="s">
        <v>108</v>
      </c>
      <c r="B454">
        <v>2023</v>
      </c>
      <c r="C454">
        <v>7</v>
      </c>
      <c r="D454" t="s">
        <v>77</v>
      </c>
      <c r="E454" t="s">
        <v>966</v>
      </c>
      <c r="F454" t="s">
        <v>44</v>
      </c>
      <c r="G454">
        <v>40</v>
      </c>
      <c r="H454">
        <v>5.5</v>
      </c>
      <c r="I454">
        <v>1.3</v>
      </c>
      <c r="R454" t="s">
        <v>182</v>
      </c>
    </row>
    <row r="455" spans="1:18" x14ac:dyDescent="0.2">
      <c r="A455" t="s">
        <v>84</v>
      </c>
      <c r="B455">
        <v>2023</v>
      </c>
      <c r="C455">
        <v>7</v>
      </c>
      <c r="D455" t="s">
        <v>246</v>
      </c>
      <c r="E455" t="s">
        <v>967</v>
      </c>
      <c r="F455" t="s">
        <v>44</v>
      </c>
      <c r="G455">
        <v>65</v>
      </c>
      <c r="H455">
        <v>27</v>
      </c>
      <c r="I455">
        <v>2.8</v>
      </c>
    </row>
    <row r="456" spans="1:18" x14ac:dyDescent="0.2">
      <c r="A456" t="s">
        <v>87</v>
      </c>
      <c r="B456">
        <v>2023</v>
      </c>
      <c r="C456">
        <v>6</v>
      </c>
      <c r="D456" t="s">
        <v>314</v>
      </c>
      <c r="E456" t="s">
        <v>968</v>
      </c>
      <c r="F456" t="s">
        <v>51</v>
      </c>
      <c r="G456">
        <v>22</v>
      </c>
      <c r="H456">
        <v>31</v>
      </c>
      <c r="I456">
        <v>5.8</v>
      </c>
    </row>
    <row r="457" spans="1:18" x14ac:dyDescent="0.2">
      <c r="A457" t="s">
        <v>84</v>
      </c>
      <c r="B457">
        <v>2023</v>
      </c>
      <c r="C457">
        <v>6</v>
      </c>
      <c r="D457" t="s">
        <v>106</v>
      </c>
      <c r="E457" t="s">
        <v>969</v>
      </c>
      <c r="F457" t="s">
        <v>51</v>
      </c>
      <c r="G457">
        <v>45</v>
      </c>
      <c r="H457">
        <v>27.8</v>
      </c>
      <c r="I457">
        <v>2.1</v>
      </c>
    </row>
    <row r="458" spans="1:18" x14ac:dyDescent="0.2">
      <c r="A458" t="s">
        <v>84</v>
      </c>
      <c r="B458">
        <v>2023</v>
      </c>
      <c r="C458">
        <v>6</v>
      </c>
      <c r="D458" t="s">
        <v>970</v>
      </c>
      <c r="E458" t="s">
        <v>971</v>
      </c>
      <c r="F458" t="s">
        <v>55</v>
      </c>
      <c r="G458">
        <v>130</v>
      </c>
      <c r="H458">
        <v>100</v>
      </c>
      <c r="I458">
        <v>4</v>
      </c>
    </row>
    <row r="459" spans="1:18" x14ac:dyDescent="0.2">
      <c r="A459" t="s">
        <v>306</v>
      </c>
      <c r="B459">
        <v>2023</v>
      </c>
      <c r="C459">
        <v>6</v>
      </c>
      <c r="D459" t="s">
        <v>521</v>
      </c>
      <c r="E459" t="s">
        <v>972</v>
      </c>
      <c r="F459" t="s">
        <v>44</v>
      </c>
      <c r="G459">
        <v>28</v>
      </c>
      <c r="H459" t="s">
        <v>973</v>
      </c>
      <c r="I459" t="s">
        <v>974</v>
      </c>
      <c r="R459" t="s">
        <v>182</v>
      </c>
    </row>
    <row r="460" spans="1:18" x14ac:dyDescent="0.2">
      <c r="A460" t="s">
        <v>84</v>
      </c>
      <c r="B460">
        <v>2023</v>
      </c>
      <c r="C460">
        <v>5</v>
      </c>
      <c r="D460" t="s">
        <v>367</v>
      </c>
      <c r="E460" t="s">
        <v>975</v>
      </c>
      <c r="F460" t="s">
        <v>44</v>
      </c>
      <c r="G460">
        <v>180</v>
      </c>
      <c r="H460">
        <v>5.8</v>
      </c>
      <c r="I460">
        <v>3.2</v>
      </c>
    </row>
    <row r="461" spans="1:18" x14ac:dyDescent="0.2">
      <c r="A461" t="s">
        <v>87</v>
      </c>
      <c r="B461">
        <v>2023</v>
      </c>
      <c r="C461">
        <v>5</v>
      </c>
      <c r="D461" t="s">
        <v>77</v>
      </c>
      <c r="E461" t="s">
        <v>976</v>
      </c>
      <c r="F461" t="s">
        <v>44</v>
      </c>
      <c r="G461">
        <v>22</v>
      </c>
      <c r="H461">
        <v>4</v>
      </c>
      <c r="I461">
        <v>1.46</v>
      </c>
    </row>
    <row r="462" spans="1:18" x14ac:dyDescent="0.2">
      <c r="A462" t="s">
        <v>306</v>
      </c>
      <c r="B462">
        <v>2023</v>
      </c>
      <c r="C462">
        <v>5</v>
      </c>
      <c r="D462" t="s">
        <v>977</v>
      </c>
      <c r="E462" t="s">
        <v>978</v>
      </c>
      <c r="F462" t="s">
        <v>44</v>
      </c>
      <c r="G462">
        <v>65</v>
      </c>
      <c r="H462">
        <v>0.65</v>
      </c>
      <c r="I462">
        <v>6.5</v>
      </c>
      <c r="R462" t="s">
        <v>182</v>
      </c>
    </row>
    <row r="463" spans="1:18" x14ac:dyDescent="0.2">
      <c r="A463" t="s">
        <v>84</v>
      </c>
      <c r="B463">
        <v>2023</v>
      </c>
      <c r="C463">
        <v>5</v>
      </c>
      <c r="D463" t="s">
        <v>951</v>
      </c>
      <c r="E463" t="s">
        <v>979</v>
      </c>
      <c r="F463" t="s">
        <v>44</v>
      </c>
      <c r="G463">
        <v>55</v>
      </c>
      <c r="H463">
        <v>5</v>
      </c>
      <c r="I463">
        <v>2.5</v>
      </c>
    </row>
    <row r="464" spans="1:18" x14ac:dyDescent="0.2">
      <c r="A464" t="s">
        <v>108</v>
      </c>
      <c r="B464">
        <v>2023</v>
      </c>
      <c r="C464">
        <v>5</v>
      </c>
      <c r="D464" t="s">
        <v>49</v>
      </c>
      <c r="E464" t="s">
        <v>980</v>
      </c>
      <c r="F464" t="s">
        <v>51</v>
      </c>
      <c r="G464">
        <v>130</v>
      </c>
      <c r="H464">
        <v>8.5</v>
      </c>
      <c r="I464">
        <v>0.8</v>
      </c>
    </row>
    <row r="465" spans="1:18" x14ac:dyDescent="0.2">
      <c r="A465" t="s">
        <v>84</v>
      </c>
      <c r="B465">
        <v>2023</v>
      </c>
      <c r="C465">
        <v>5</v>
      </c>
      <c r="D465" t="s">
        <v>981</v>
      </c>
      <c r="E465" t="s">
        <v>982</v>
      </c>
      <c r="F465" t="s">
        <v>44</v>
      </c>
      <c r="G465">
        <v>65</v>
      </c>
      <c r="H465">
        <v>15</v>
      </c>
      <c r="I465">
        <v>5.33</v>
      </c>
    </row>
    <row r="466" spans="1:18" x14ac:dyDescent="0.2">
      <c r="A466" t="s">
        <v>45</v>
      </c>
      <c r="B466">
        <v>2023</v>
      </c>
      <c r="C466">
        <v>4</v>
      </c>
      <c r="D466" t="s">
        <v>983</v>
      </c>
      <c r="E466" t="s">
        <v>984</v>
      </c>
      <c r="F466" t="s">
        <v>55</v>
      </c>
      <c r="G466">
        <v>130</v>
      </c>
      <c r="H466">
        <v>235</v>
      </c>
      <c r="I466">
        <v>11</v>
      </c>
    </row>
    <row r="467" spans="1:18" x14ac:dyDescent="0.2">
      <c r="A467" t="s">
        <v>198</v>
      </c>
      <c r="B467">
        <v>2023</v>
      </c>
      <c r="C467">
        <v>3</v>
      </c>
      <c r="D467" t="s">
        <v>985</v>
      </c>
      <c r="E467" t="s">
        <v>986</v>
      </c>
      <c r="F467" t="s">
        <v>55</v>
      </c>
      <c r="G467">
        <v>130</v>
      </c>
      <c r="H467">
        <v>237</v>
      </c>
      <c r="I467">
        <v>11.7</v>
      </c>
    </row>
    <row r="468" spans="1:18" x14ac:dyDescent="0.2">
      <c r="A468" t="s">
        <v>306</v>
      </c>
      <c r="B468">
        <v>2023</v>
      </c>
      <c r="C468">
        <v>3</v>
      </c>
      <c r="D468" t="s">
        <v>987</v>
      </c>
      <c r="E468" t="s">
        <v>988</v>
      </c>
      <c r="F468" t="s">
        <v>44</v>
      </c>
      <c r="G468">
        <v>130</v>
      </c>
      <c r="H468">
        <v>2.8</v>
      </c>
      <c r="I468">
        <v>5.9</v>
      </c>
    </row>
    <row r="469" spans="1:18" x14ac:dyDescent="0.2">
      <c r="A469" t="s">
        <v>45</v>
      </c>
      <c r="B469">
        <v>2023</v>
      </c>
      <c r="C469">
        <v>1</v>
      </c>
      <c r="D469" t="s">
        <v>57</v>
      </c>
      <c r="E469" t="s">
        <v>989</v>
      </c>
      <c r="F469" t="s">
        <v>55</v>
      </c>
      <c r="G469">
        <v>130</v>
      </c>
      <c r="H469">
        <v>212</v>
      </c>
      <c r="I469">
        <v>9</v>
      </c>
      <c r="R469" t="s">
        <v>182</v>
      </c>
    </row>
    <row r="470" spans="1:18" x14ac:dyDescent="0.2">
      <c r="A470" t="s">
        <v>87</v>
      </c>
      <c r="B470">
        <v>2023</v>
      </c>
      <c r="C470">
        <v>1</v>
      </c>
      <c r="D470" t="s">
        <v>166</v>
      </c>
      <c r="E470" t="s">
        <v>990</v>
      </c>
      <c r="F470" t="s">
        <v>44</v>
      </c>
      <c r="G470">
        <v>130</v>
      </c>
      <c r="H470">
        <v>2.2999999999999998</v>
      </c>
      <c r="I470">
        <v>1.1100000000000001</v>
      </c>
    </row>
    <row r="471" spans="1:18" x14ac:dyDescent="0.2">
      <c r="A471" t="s">
        <v>45</v>
      </c>
      <c r="B471">
        <v>2023</v>
      </c>
      <c r="C471">
        <v>1</v>
      </c>
      <c r="D471" t="s">
        <v>57</v>
      </c>
      <c r="E471" t="s">
        <v>991</v>
      </c>
      <c r="F471" t="s">
        <v>44</v>
      </c>
      <c r="G471">
        <v>65</v>
      </c>
      <c r="H471">
        <v>40</v>
      </c>
      <c r="I471">
        <v>4.8</v>
      </c>
    </row>
    <row r="472" spans="1:18" x14ac:dyDescent="0.2">
      <c r="A472" t="s">
        <v>87</v>
      </c>
      <c r="B472">
        <v>2023</v>
      </c>
      <c r="C472">
        <v>1</v>
      </c>
      <c r="D472" t="s">
        <v>981</v>
      </c>
      <c r="E472" t="s">
        <v>992</v>
      </c>
      <c r="F472" t="s">
        <v>44</v>
      </c>
      <c r="G472">
        <v>180</v>
      </c>
      <c r="H472">
        <v>3.95</v>
      </c>
      <c r="I472">
        <v>2.23</v>
      </c>
    </row>
    <row r="473" spans="1:18" x14ac:dyDescent="0.2">
      <c r="A473" t="s">
        <v>84</v>
      </c>
      <c r="B473">
        <v>2023</v>
      </c>
      <c r="C473">
        <v>1</v>
      </c>
      <c r="D473" t="s">
        <v>151</v>
      </c>
      <c r="E473" t="s">
        <v>993</v>
      </c>
      <c r="F473" t="s">
        <v>44</v>
      </c>
      <c r="G473">
        <v>65</v>
      </c>
      <c r="H473">
        <v>28.5</v>
      </c>
      <c r="I473">
        <v>2.79</v>
      </c>
    </row>
  </sheetData>
  <autoFilter ref="A1:R1" xr:uid="{70357AED-B97D-4550-B0AC-0083DF185BBB}"/>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2E1B5-8E4E-4FFC-BA0B-8DC92F3D9417}">
  <dimension ref="B1:I315"/>
  <sheetViews>
    <sheetView zoomScaleNormal="100" workbookViewId="0">
      <selection activeCell="Z16" sqref="Z16"/>
    </sheetView>
  </sheetViews>
  <sheetFormatPr baseColWidth="10" defaultColWidth="8.83203125" defaultRowHeight="15" x14ac:dyDescent="0.2"/>
  <sheetData>
    <row r="1" spans="2:9" x14ac:dyDescent="0.2">
      <c r="B1" t="s">
        <v>44</v>
      </c>
      <c r="D1" t="s">
        <v>51</v>
      </c>
      <c r="F1" t="s">
        <v>481</v>
      </c>
      <c r="H1" t="s">
        <v>994</v>
      </c>
    </row>
    <row r="2" spans="2:9" x14ac:dyDescent="0.2">
      <c r="B2" t="s">
        <v>995</v>
      </c>
      <c r="C2" t="s">
        <v>996</v>
      </c>
      <c r="D2" t="s">
        <v>995</v>
      </c>
      <c r="E2" t="s">
        <v>996</v>
      </c>
      <c r="F2" t="s">
        <v>995</v>
      </c>
      <c r="G2" t="s">
        <v>996</v>
      </c>
      <c r="H2" t="s">
        <v>995</v>
      </c>
      <c r="I2" t="s">
        <v>996</v>
      </c>
    </row>
    <row r="3" spans="2:9" x14ac:dyDescent="0.2">
      <c r="B3">
        <v>0.1</v>
      </c>
      <c r="C3">
        <v>2</v>
      </c>
      <c r="D3">
        <v>0.996</v>
      </c>
      <c r="E3">
        <v>7.1</v>
      </c>
      <c r="F3">
        <v>4</v>
      </c>
      <c r="G3">
        <v>3.8</v>
      </c>
      <c r="H3">
        <v>82</v>
      </c>
      <c r="I3">
        <v>17</v>
      </c>
    </row>
    <row r="4" spans="2:9" x14ac:dyDescent="0.2">
      <c r="B4">
        <v>0.3</v>
      </c>
      <c r="C4">
        <v>6.2</v>
      </c>
      <c r="D4">
        <v>6</v>
      </c>
      <c r="E4">
        <v>2.5</v>
      </c>
      <c r="F4">
        <v>6</v>
      </c>
      <c r="G4">
        <v>1.1499999999999999</v>
      </c>
      <c r="H4">
        <v>5</v>
      </c>
      <c r="I4">
        <v>4.3</v>
      </c>
    </row>
    <row r="5" spans="2:9" x14ac:dyDescent="0.2">
      <c r="B5">
        <v>0.433</v>
      </c>
      <c r="C5">
        <v>2.1</v>
      </c>
      <c r="D5">
        <v>8.5</v>
      </c>
      <c r="E5">
        <v>0.8</v>
      </c>
      <c r="F5">
        <v>9</v>
      </c>
      <c r="G5">
        <v>13.6</v>
      </c>
      <c r="H5">
        <v>27</v>
      </c>
      <c r="I5">
        <v>2.2000000000000002</v>
      </c>
    </row>
    <row r="6" spans="2:9" x14ac:dyDescent="0.2">
      <c r="B6">
        <v>0.5</v>
      </c>
      <c r="C6">
        <v>3.2</v>
      </c>
      <c r="D6">
        <v>17</v>
      </c>
      <c r="E6">
        <v>2</v>
      </c>
      <c r="F6">
        <v>20</v>
      </c>
      <c r="G6">
        <v>2.2999999999999998</v>
      </c>
      <c r="H6">
        <v>190</v>
      </c>
      <c r="I6">
        <v>8.3000000000000007</v>
      </c>
    </row>
    <row r="7" spans="2:9" x14ac:dyDescent="0.2">
      <c r="B7">
        <v>0.5</v>
      </c>
      <c r="C7">
        <v>3.2</v>
      </c>
      <c r="D7">
        <v>22</v>
      </c>
      <c r="E7">
        <v>3.8</v>
      </c>
      <c r="F7">
        <v>24</v>
      </c>
      <c r="G7">
        <v>2.7</v>
      </c>
      <c r="H7">
        <v>2.5</v>
      </c>
      <c r="I7">
        <v>12.4</v>
      </c>
    </row>
    <row r="8" spans="2:9" x14ac:dyDescent="0.2">
      <c r="B8">
        <v>0.6</v>
      </c>
      <c r="C8">
        <v>2.5</v>
      </c>
      <c r="D8">
        <v>24</v>
      </c>
      <c r="E8">
        <v>4.5</v>
      </c>
      <c r="F8">
        <v>25</v>
      </c>
      <c r="G8">
        <v>2</v>
      </c>
      <c r="H8">
        <v>78.5</v>
      </c>
      <c r="I8">
        <v>5.5</v>
      </c>
    </row>
    <row r="9" spans="2:9" x14ac:dyDescent="0.2">
      <c r="B9">
        <v>0.63700000000000001</v>
      </c>
      <c r="C9">
        <v>2.8</v>
      </c>
      <c r="D9">
        <v>25</v>
      </c>
      <c r="E9">
        <v>2.08</v>
      </c>
      <c r="F9">
        <v>27</v>
      </c>
      <c r="G9">
        <v>5.5</v>
      </c>
    </row>
    <row r="10" spans="2:9" x14ac:dyDescent="0.2">
      <c r="B10">
        <v>0.8</v>
      </c>
      <c r="C10">
        <v>3.7</v>
      </c>
      <c r="D10">
        <v>25</v>
      </c>
      <c r="E10">
        <v>2.25</v>
      </c>
      <c r="F10">
        <v>28</v>
      </c>
      <c r="G10">
        <v>4.2</v>
      </c>
    </row>
    <row r="11" spans="2:9" x14ac:dyDescent="0.2">
      <c r="B11">
        <v>1</v>
      </c>
      <c r="C11">
        <v>1.56</v>
      </c>
      <c r="D11">
        <v>25</v>
      </c>
      <c r="E11">
        <v>5</v>
      </c>
      <c r="F11">
        <v>28</v>
      </c>
      <c r="G11">
        <v>4.2</v>
      </c>
    </row>
    <row r="12" spans="2:9" x14ac:dyDescent="0.2">
      <c r="B12">
        <v>1</v>
      </c>
      <c r="C12">
        <v>2.7</v>
      </c>
      <c r="D12">
        <v>25</v>
      </c>
      <c r="E12">
        <v>2.5499999999999998</v>
      </c>
      <c r="F12">
        <v>28</v>
      </c>
      <c r="G12">
        <v>2.8</v>
      </c>
    </row>
    <row r="13" spans="2:9" x14ac:dyDescent="0.2">
      <c r="B13">
        <v>1</v>
      </c>
      <c r="C13">
        <v>2.8</v>
      </c>
      <c r="D13">
        <v>26</v>
      </c>
      <c r="E13">
        <v>2.2000000000000002</v>
      </c>
      <c r="F13">
        <v>28</v>
      </c>
      <c r="G13">
        <v>3</v>
      </c>
    </row>
    <row r="14" spans="2:9" x14ac:dyDescent="0.2">
      <c r="B14">
        <v>1.2</v>
      </c>
      <c r="C14">
        <v>2.7</v>
      </c>
      <c r="D14">
        <v>26</v>
      </c>
      <c r="E14">
        <v>2</v>
      </c>
      <c r="F14">
        <v>30</v>
      </c>
      <c r="G14">
        <v>3</v>
      </c>
    </row>
    <row r="15" spans="2:9" x14ac:dyDescent="0.2">
      <c r="B15">
        <v>1.4</v>
      </c>
      <c r="C15">
        <v>2.5</v>
      </c>
      <c r="D15">
        <v>26</v>
      </c>
      <c r="E15">
        <v>2.92</v>
      </c>
      <c r="F15">
        <v>30</v>
      </c>
      <c r="G15">
        <v>4.8</v>
      </c>
    </row>
    <row r="16" spans="2:9" x14ac:dyDescent="0.2">
      <c r="B16">
        <v>1.7</v>
      </c>
      <c r="C16">
        <v>4.8</v>
      </c>
      <c r="D16">
        <v>26</v>
      </c>
      <c r="E16">
        <v>2.92</v>
      </c>
      <c r="F16">
        <v>31</v>
      </c>
      <c r="G16">
        <v>7.6</v>
      </c>
    </row>
    <row r="17" spans="2:7" x14ac:dyDescent="0.2">
      <c r="B17">
        <v>2</v>
      </c>
      <c r="C17">
        <v>2.57</v>
      </c>
      <c r="D17">
        <v>26</v>
      </c>
      <c r="E17">
        <v>5.2</v>
      </c>
      <c r="F17">
        <v>32.5</v>
      </c>
      <c r="G17">
        <v>2.5</v>
      </c>
    </row>
    <row r="18" spans="2:7" x14ac:dyDescent="0.2">
      <c r="B18">
        <v>2</v>
      </c>
      <c r="C18">
        <v>3</v>
      </c>
      <c r="D18">
        <v>27</v>
      </c>
      <c r="E18">
        <v>1.4</v>
      </c>
      <c r="F18">
        <v>35</v>
      </c>
      <c r="G18">
        <v>4.8</v>
      </c>
    </row>
    <row r="19" spans="2:7" x14ac:dyDescent="0.2">
      <c r="B19">
        <v>2</v>
      </c>
      <c r="C19">
        <v>3.7</v>
      </c>
      <c r="D19">
        <v>27</v>
      </c>
      <c r="E19">
        <v>5.2</v>
      </c>
      <c r="F19">
        <v>35</v>
      </c>
      <c r="G19">
        <v>4.4000000000000004</v>
      </c>
    </row>
    <row r="20" spans="2:7" x14ac:dyDescent="0.2">
      <c r="B20">
        <v>2</v>
      </c>
      <c r="C20">
        <v>6</v>
      </c>
      <c r="D20">
        <v>27.5</v>
      </c>
      <c r="E20">
        <v>2.1</v>
      </c>
      <c r="F20">
        <v>40</v>
      </c>
      <c r="G20">
        <v>7</v>
      </c>
    </row>
    <row r="21" spans="2:7" x14ac:dyDescent="0.2">
      <c r="B21">
        <v>2.14</v>
      </c>
      <c r="C21">
        <v>4.5</v>
      </c>
      <c r="D21">
        <v>27.7</v>
      </c>
      <c r="E21">
        <v>2.4</v>
      </c>
      <c r="F21">
        <v>41</v>
      </c>
      <c r="G21">
        <v>3.5</v>
      </c>
    </row>
    <row r="22" spans="2:7" x14ac:dyDescent="0.2">
      <c r="B22">
        <v>2.4</v>
      </c>
      <c r="C22">
        <v>2.13</v>
      </c>
      <c r="D22">
        <v>27.7</v>
      </c>
      <c r="E22">
        <v>2.4</v>
      </c>
      <c r="F22">
        <v>41</v>
      </c>
      <c r="G22">
        <v>3.5</v>
      </c>
    </row>
    <row r="23" spans="2:7" x14ac:dyDescent="0.2">
      <c r="B23">
        <v>2.4</v>
      </c>
      <c r="C23">
        <v>3.2</v>
      </c>
      <c r="D23">
        <v>28</v>
      </c>
      <c r="E23">
        <v>1.73</v>
      </c>
      <c r="F23">
        <v>44</v>
      </c>
      <c r="G23">
        <v>5.7</v>
      </c>
    </row>
    <row r="24" spans="2:7" x14ac:dyDescent="0.2">
      <c r="B24">
        <v>2.4</v>
      </c>
      <c r="C24">
        <v>6.1</v>
      </c>
      <c r="D24">
        <v>28</v>
      </c>
      <c r="E24">
        <v>4.5</v>
      </c>
      <c r="F24">
        <v>50</v>
      </c>
      <c r="G24">
        <v>3.5</v>
      </c>
    </row>
    <row r="25" spans="2:7" x14ac:dyDescent="0.2">
      <c r="B25">
        <v>2.42</v>
      </c>
      <c r="C25">
        <v>2.97</v>
      </c>
      <c r="D25">
        <v>28</v>
      </c>
      <c r="E25">
        <v>3.2</v>
      </c>
      <c r="F25">
        <v>51</v>
      </c>
      <c r="G25">
        <v>4.5</v>
      </c>
    </row>
    <row r="26" spans="2:7" x14ac:dyDescent="0.2">
      <c r="B26">
        <v>2.5</v>
      </c>
      <c r="C26">
        <v>3</v>
      </c>
      <c r="D26">
        <v>28</v>
      </c>
      <c r="E26">
        <v>5.2</v>
      </c>
      <c r="F26">
        <v>51</v>
      </c>
      <c r="G26">
        <v>4.5</v>
      </c>
    </row>
    <row r="27" spans="2:7" x14ac:dyDescent="0.2">
      <c r="B27">
        <v>3</v>
      </c>
      <c r="C27">
        <v>3.4</v>
      </c>
      <c r="D27">
        <v>28.5</v>
      </c>
      <c r="E27">
        <v>2.7</v>
      </c>
      <c r="F27">
        <v>60</v>
      </c>
      <c r="G27">
        <v>5.8</v>
      </c>
    </row>
    <row r="28" spans="2:7" x14ac:dyDescent="0.2">
      <c r="B28">
        <v>3.5</v>
      </c>
      <c r="C28">
        <v>2.9</v>
      </c>
      <c r="D28">
        <v>29</v>
      </c>
      <c r="E28">
        <v>3.1</v>
      </c>
      <c r="F28">
        <v>60</v>
      </c>
      <c r="G28">
        <v>3.2</v>
      </c>
    </row>
    <row r="29" spans="2:7" x14ac:dyDescent="0.2">
      <c r="B29">
        <v>3.8</v>
      </c>
      <c r="C29">
        <v>3.3</v>
      </c>
      <c r="D29">
        <v>29</v>
      </c>
      <c r="E29">
        <v>4.3</v>
      </c>
      <c r="F29">
        <v>60</v>
      </c>
      <c r="G29">
        <v>3.3</v>
      </c>
    </row>
    <row r="30" spans="2:7" x14ac:dyDescent="0.2">
      <c r="B30">
        <v>4</v>
      </c>
      <c r="C30">
        <v>0.75</v>
      </c>
      <c r="D30">
        <v>30.1</v>
      </c>
      <c r="E30">
        <v>5.5</v>
      </c>
      <c r="F30">
        <v>72</v>
      </c>
      <c r="G30">
        <v>3.5</v>
      </c>
    </row>
    <row r="31" spans="2:7" x14ac:dyDescent="0.2">
      <c r="B31">
        <v>4.21</v>
      </c>
      <c r="C31">
        <v>3.02</v>
      </c>
      <c r="D31">
        <v>38</v>
      </c>
      <c r="E31">
        <v>2.1</v>
      </c>
      <c r="F31">
        <v>73</v>
      </c>
      <c r="G31">
        <v>4.5</v>
      </c>
    </row>
    <row r="32" spans="2:7" x14ac:dyDescent="0.2">
      <c r="B32">
        <v>4.4000000000000004</v>
      </c>
      <c r="C32">
        <v>0.74</v>
      </c>
      <c r="D32">
        <v>38</v>
      </c>
      <c r="E32">
        <v>4.9000000000000004</v>
      </c>
      <c r="F32">
        <v>76</v>
      </c>
      <c r="G32">
        <v>4.5</v>
      </c>
    </row>
    <row r="33" spans="2:7" x14ac:dyDescent="0.2">
      <c r="B33">
        <v>5</v>
      </c>
      <c r="C33">
        <v>1.7</v>
      </c>
      <c r="D33">
        <v>39</v>
      </c>
      <c r="E33">
        <v>4.9000000000000004</v>
      </c>
      <c r="F33">
        <v>80</v>
      </c>
      <c r="G33">
        <v>4.2</v>
      </c>
    </row>
    <row r="34" spans="2:7" x14ac:dyDescent="0.2">
      <c r="B34">
        <v>5.2</v>
      </c>
      <c r="C34">
        <v>3.18</v>
      </c>
      <c r="D34">
        <v>39</v>
      </c>
      <c r="E34">
        <v>5.5</v>
      </c>
      <c r="F34">
        <v>80</v>
      </c>
      <c r="G34">
        <v>4.2</v>
      </c>
    </row>
    <row r="35" spans="2:7" x14ac:dyDescent="0.2">
      <c r="B35">
        <v>5.3</v>
      </c>
      <c r="C35">
        <v>4.3</v>
      </c>
      <c r="D35">
        <v>39</v>
      </c>
      <c r="E35">
        <v>2.5</v>
      </c>
      <c r="F35">
        <v>81</v>
      </c>
      <c r="G35">
        <v>3.8</v>
      </c>
    </row>
    <row r="36" spans="2:7" x14ac:dyDescent="0.2">
      <c r="B36">
        <v>7.2</v>
      </c>
      <c r="C36">
        <v>3.3</v>
      </c>
      <c r="D36">
        <v>39</v>
      </c>
      <c r="E36">
        <v>7.9</v>
      </c>
      <c r="F36">
        <v>82</v>
      </c>
      <c r="G36">
        <v>8</v>
      </c>
    </row>
    <row r="37" spans="2:7" x14ac:dyDescent="0.2">
      <c r="B37">
        <v>10</v>
      </c>
      <c r="C37">
        <v>6.2</v>
      </c>
      <c r="D37">
        <v>44</v>
      </c>
      <c r="E37">
        <v>3</v>
      </c>
      <c r="F37">
        <v>83</v>
      </c>
      <c r="G37">
        <v>5</v>
      </c>
    </row>
    <row r="38" spans="2:7" x14ac:dyDescent="0.2">
      <c r="B38">
        <v>10</v>
      </c>
      <c r="C38">
        <v>2.5</v>
      </c>
      <c r="D38">
        <v>60</v>
      </c>
      <c r="E38">
        <v>4.4000000000000004</v>
      </c>
      <c r="F38">
        <v>85</v>
      </c>
      <c r="G38">
        <v>5.5</v>
      </c>
    </row>
    <row r="39" spans="2:7" x14ac:dyDescent="0.2">
      <c r="B39">
        <v>10</v>
      </c>
      <c r="C39">
        <v>3.5</v>
      </c>
      <c r="D39">
        <v>77</v>
      </c>
      <c r="E39">
        <v>4.5999999999999996</v>
      </c>
      <c r="F39">
        <v>100</v>
      </c>
      <c r="G39">
        <v>4.8</v>
      </c>
    </row>
    <row r="40" spans="2:7" x14ac:dyDescent="0.2">
      <c r="B40">
        <v>11</v>
      </c>
      <c r="C40">
        <v>2.2999999999999998</v>
      </c>
      <c r="D40">
        <v>78</v>
      </c>
      <c r="E40">
        <v>4.8</v>
      </c>
      <c r="F40">
        <v>105</v>
      </c>
      <c r="G40">
        <v>6</v>
      </c>
    </row>
    <row r="41" spans="2:7" x14ac:dyDescent="0.2">
      <c r="B41">
        <v>15</v>
      </c>
      <c r="C41">
        <v>3.7</v>
      </c>
      <c r="D41">
        <v>81</v>
      </c>
      <c r="E41">
        <v>5.5</v>
      </c>
      <c r="F41">
        <v>110</v>
      </c>
      <c r="G41">
        <v>4</v>
      </c>
    </row>
    <row r="42" spans="2:7" x14ac:dyDescent="0.2">
      <c r="B42">
        <v>16</v>
      </c>
      <c r="C42">
        <v>1.7</v>
      </c>
      <c r="D42">
        <v>83</v>
      </c>
      <c r="E42">
        <v>5.9</v>
      </c>
      <c r="F42">
        <v>110</v>
      </c>
      <c r="G42">
        <v>4</v>
      </c>
    </row>
    <row r="43" spans="2:7" x14ac:dyDescent="0.2">
      <c r="B43">
        <v>19</v>
      </c>
      <c r="C43">
        <v>5</v>
      </c>
      <c r="D43">
        <v>96</v>
      </c>
      <c r="E43">
        <v>5.8</v>
      </c>
      <c r="F43">
        <v>110</v>
      </c>
      <c r="G43">
        <v>4.5</v>
      </c>
    </row>
    <row r="44" spans="2:7" x14ac:dyDescent="0.2">
      <c r="B44">
        <v>19</v>
      </c>
      <c r="C44">
        <v>5</v>
      </c>
      <c r="D44">
        <v>105</v>
      </c>
      <c r="E44">
        <v>5</v>
      </c>
      <c r="F44">
        <v>110</v>
      </c>
      <c r="G44">
        <v>5</v>
      </c>
    </row>
    <row r="45" spans="2:7" x14ac:dyDescent="0.2">
      <c r="B45">
        <v>20</v>
      </c>
      <c r="C45">
        <v>3.3</v>
      </c>
      <c r="D45">
        <v>130</v>
      </c>
      <c r="E45">
        <v>5.8</v>
      </c>
      <c r="F45">
        <v>110</v>
      </c>
      <c r="G45">
        <v>6</v>
      </c>
    </row>
    <row r="46" spans="2:7" x14ac:dyDescent="0.2">
      <c r="B46">
        <v>20</v>
      </c>
      <c r="C46">
        <v>2</v>
      </c>
      <c r="D46">
        <v>135</v>
      </c>
      <c r="E46">
        <v>8.5</v>
      </c>
      <c r="F46">
        <v>110</v>
      </c>
      <c r="G46">
        <v>6.1</v>
      </c>
    </row>
    <row r="47" spans="2:7" x14ac:dyDescent="0.2">
      <c r="B47">
        <v>20</v>
      </c>
      <c r="C47">
        <v>3.3</v>
      </c>
      <c r="D47">
        <v>140</v>
      </c>
      <c r="E47">
        <v>5.2</v>
      </c>
      <c r="F47">
        <v>110</v>
      </c>
      <c r="G47">
        <v>11</v>
      </c>
    </row>
    <row r="48" spans="2:7" x14ac:dyDescent="0.2">
      <c r="B48">
        <v>20</v>
      </c>
      <c r="C48">
        <v>4.0999999999999996</v>
      </c>
      <c r="D48">
        <v>140</v>
      </c>
      <c r="E48">
        <v>9</v>
      </c>
      <c r="F48">
        <v>120</v>
      </c>
      <c r="G48">
        <v>6</v>
      </c>
    </row>
    <row r="49" spans="2:7" x14ac:dyDescent="0.2">
      <c r="B49">
        <v>20</v>
      </c>
      <c r="C49">
        <v>4.0999999999999996</v>
      </c>
      <c r="D49">
        <v>140</v>
      </c>
      <c r="E49">
        <v>9.1999999999999993</v>
      </c>
      <c r="F49">
        <v>120</v>
      </c>
      <c r="G49">
        <v>7.2</v>
      </c>
    </row>
    <row r="50" spans="2:7" x14ac:dyDescent="0.2">
      <c r="B50">
        <v>20</v>
      </c>
      <c r="C50">
        <v>4.7</v>
      </c>
      <c r="D50">
        <v>140</v>
      </c>
      <c r="E50">
        <v>9.1999999999999993</v>
      </c>
      <c r="F50">
        <v>120</v>
      </c>
      <c r="G50">
        <v>9</v>
      </c>
    </row>
    <row r="51" spans="2:7" x14ac:dyDescent="0.2">
      <c r="B51">
        <v>20.5</v>
      </c>
      <c r="C51">
        <v>4.5999999999999996</v>
      </c>
      <c r="D51">
        <v>140</v>
      </c>
      <c r="E51">
        <v>10</v>
      </c>
      <c r="F51">
        <v>139.80000000000001</v>
      </c>
      <c r="G51">
        <v>7.2</v>
      </c>
    </row>
    <row r="52" spans="2:7" x14ac:dyDescent="0.2">
      <c r="B52">
        <v>21</v>
      </c>
      <c r="C52">
        <v>3.9</v>
      </c>
      <c r="D52">
        <v>144</v>
      </c>
      <c r="E52">
        <v>6.4</v>
      </c>
      <c r="F52">
        <v>140</v>
      </c>
      <c r="G52">
        <v>5.5</v>
      </c>
    </row>
    <row r="53" spans="2:7" x14ac:dyDescent="0.2">
      <c r="B53">
        <v>21</v>
      </c>
      <c r="C53">
        <v>4.2</v>
      </c>
      <c r="D53">
        <v>144</v>
      </c>
      <c r="E53">
        <v>6.4</v>
      </c>
      <c r="F53">
        <v>140</v>
      </c>
      <c r="G53">
        <v>6.2</v>
      </c>
    </row>
    <row r="54" spans="2:7" x14ac:dyDescent="0.2">
      <c r="B54">
        <v>24</v>
      </c>
      <c r="C54">
        <v>5.63</v>
      </c>
      <c r="D54">
        <v>147</v>
      </c>
      <c r="E54">
        <v>6.5</v>
      </c>
      <c r="F54">
        <v>140</v>
      </c>
      <c r="G54">
        <v>5.9</v>
      </c>
    </row>
    <row r="55" spans="2:7" x14ac:dyDescent="0.2">
      <c r="B55">
        <v>24</v>
      </c>
      <c r="C55">
        <v>4</v>
      </c>
      <c r="D55">
        <v>153</v>
      </c>
      <c r="E55">
        <v>7.5</v>
      </c>
      <c r="F55">
        <v>150</v>
      </c>
      <c r="G55">
        <v>8.5</v>
      </c>
    </row>
    <row r="56" spans="2:7" x14ac:dyDescent="0.2">
      <c r="B56">
        <v>24.5</v>
      </c>
      <c r="C56">
        <v>3.83</v>
      </c>
      <c r="D56">
        <v>6.5</v>
      </c>
      <c r="E56">
        <v>1.6</v>
      </c>
      <c r="F56">
        <v>170</v>
      </c>
      <c r="G56">
        <v>7.9</v>
      </c>
    </row>
    <row r="57" spans="2:7" x14ac:dyDescent="0.2">
      <c r="B57">
        <v>24.8</v>
      </c>
      <c r="C57">
        <v>7.3</v>
      </c>
      <c r="D57">
        <v>3.5</v>
      </c>
      <c r="E57">
        <v>0.85</v>
      </c>
      <c r="F57">
        <v>187.5</v>
      </c>
      <c r="G57">
        <v>8.4</v>
      </c>
    </row>
    <row r="58" spans="2:7" x14ac:dyDescent="0.2">
      <c r="B58">
        <v>25</v>
      </c>
      <c r="C58">
        <v>2.74</v>
      </c>
      <c r="D58">
        <v>3.5</v>
      </c>
      <c r="E58">
        <v>1.3</v>
      </c>
      <c r="F58">
        <v>190</v>
      </c>
      <c r="G58">
        <v>6.1</v>
      </c>
    </row>
    <row r="59" spans="2:7" x14ac:dyDescent="0.2">
      <c r="B59">
        <v>25</v>
      </c>
      <c r="C59">
        <v>3.3</v>
      </c>
      <c r="D59">
        <v>8.5</v>
      </c>
      <c r="E59">
        <v>2.46</v>
      </c>
      <c r="F59">
        <v>217</v>
      </c>
      <c r="G59">
        <v>9</v>
      </c>
    </row>
    <row r="60" spans="2:7" x14ac:dyDescent="0.2">
      <c r="B60">
        <v>25</v>
      </c>
      <c r="C60">
        <v>4.0999999999999996</v>
      </c>
      <c r="D60">
        <v>28</v>
      </c>
      <c r="E60">
        <v>4.4000000000000004</v>
      </c>
      <c r="F60">
        <v>240</v>
      </c>
      <c r="G60">
        <v>13.2</v>
      </c>
    </row>
    <row r="61" spans="2:7" x14ac:dyDescent="0.2">
      <c r="B61">
        <v>25</v>
      </c>
      <c r="C61">
        <v>2.4</v>
      </c>
      <c r="D61">
        <v>29</v>
      </c>
      <c r="E61">
        <v>2.9</v>
      </c>
      <c r="F61">
        <v>240</v>
      </c>
      <c r="G61">
        <v>13.2</v>
      </c>
    </row>
    <row r="62" spans="2:7" x14ac:dyDescent="0.2">
      <c r="B62">
        <v>26</v>
      </c>
      <c r="C62">
        <v>2.27</v>
      </c>
      <c r="D62">
        <v>53</v>
      </c>
      <c r="E62">
        <v>3.4</v>
      </c>
      <c r="F62">
        <v>260</v>
      </c>
      <c r="G62">
        <v>13.5</v>
      </c>
    </row>
    <row r="63" spans="2:7" x14ac:dyDescent="0.2">
      <c r="B63">
        <v>26</v>
      </c>
      <c r="C63">
        <v>4.4000000000000004</v>
      </c>
      <c r="D63">
        <v>60</v>
      </c>
      <c r="E63">
        <v>5</v>
      </c>
      <c r="F63">
        <v>125</v>
      </c>
      <c r="G63">
        <v>9</v>
      </c>
    </row>
    <row r="64" spans="2:7" x14ac:dyDescent="0.2">
      <c r="B64">
        <v>26</v>
      </c>
      <c r="C64">
        <v>5.2</v>
      </c>
      <c r="D64">
        <v>8</v>
      </c>
      <c r="E64">
        <v>6.6</v>
      </c>
      <c r="F64">
        <v>208</v>
      </c>
      <c r="G64">
        <v>10.5</v>
      </c>
    </row>
    <row r="65" spans="2:7" x14ac:dyDescent="0.2">
      <c r="B65">
        <v>26</v>
      </c>
      <c r="C65">
        <v>4</v>
      </c>
      <c r="D65">
        <v>55</v>
      </c>
      <c r="E65">
        <v>3.3</v>
      </c>
      <c r="F65">
        <v>29.5</v>
      </c>
      <c r="G65">
        <v>5</v>
      </c>
    </row>
    <row r="66" spans="2:7" x14ac:dyDescent="0.2">
      <c r="B66">
        <v>26</v>
      </c>
      <c r="C66">
        <v>5</v>
      </c>
      <c r="D66">
        <v>2</v>
      </c>
      <c r="E66">
        <v>1.2</v>
      </c>
      <c r="F66">
        <v>50</v>
      </c>
      <c r="G66">
        <v>4.0599999999999996</v>
      </c>
    </row>
    <row r="67" spans="2:7" x14ac:dyDescent="0.2">
      <c r="B67">
        <v>26</v>
      </c>
      <c r="C67">
        <v>5.0999999999999996</v>
      </c>
      <c r="D67">
        <v>100</v>
      </c>
      <c r="E67">
        <v>6.5</v>
      </c>
      <c r="F67">
        <v>92</v>
      </c>
      <c r="G67">
        <v>4</v>
      </c>
    </row>
    <row r="68" spans="2:7" x14ac:dyDescent="0.2">
      <c r="B68">
        <v>27</v>
      </c>
      <c r="C68">
        <v>4.78</v>
      </c>
      <c r="D68">
        <v>9</v>
      </c>
      <c r="E68">
        <v>4.8499999999999996</v>
      </c>
      <c r="F68">
        <v>165</v>
      </c>
      <c r="G68">
        <v>9.5</v>
      </c>
    </row>
    <row r="69" spans="2:7" x14ac:dyDescent="0.2">
      <c r="B69">
        <v>28</v>
      </c>
      <c r="C69">
        <v>4.0999999999999996</v>
      </c>
      <c r="D69">
        <v>29</v>
      </c>
      <c r="E69">
        <v>5.4</v>
      </c>
      <c r="F69">
        <v>15</v>
      </c>
      <c r="G69">
        <v>2.9</v>
      </c>
    </row>
    <row r="70" spans="2:7" x14ac:dyDescent="0.2">
      <c r="B70">
        <v>28</v>
      </c>
      <c r="C70">
        <v>4.2</v>
      </c>
      <c r="D70">
        <v>20</v>
      </c>
      <c r="E70">
        <v>2.46</v>
      </c>
      <c r="F70">
        <v>80</v>
      </c>
      <c r="G70">
        <v>4.5999999999999996</v>
      </c>
    </row>
    <row r="71" spans="2:7" x14ac:dyDescent="0.2">
      <c r="B71">
        <v>28</v>
      </c>
      <c r="C71">
        <v>5.4</v>
      </c>
      <c r="D71">
        <v>28</v>
      </c>
      <c r="E71">
        <v>6</v>
      </c>
      <c r="F71">
        <v>285</v>
      </c>
      <c r="G71">
        <v>10.5</v>
      </c>
    </row>
    <row r="72" spans="2:7" x14ac:dyDescent="0.2">
      <c r="B72">
        <v>28</v>
      </c>
      <c r="C72">
        <v>3.75</v>
      </c>
      <c r="D72">
        <v>19.5</v>
      </c>
      <c r="E72">
        <v>2.42</v>
      </c>
      <c r="F72">
        <v>11</v>
      </c>
      <c r="G72">
        <v>2</v>
      </c>
    </row>
    <row r="73" spans="2:7" x14ac:dyDescent="0.2">
      <c r="B73">
        <v>28</v>
      </c>
      <c r="C73">
        <v>7</v>
      </c>
      <c r="D73">
        <v>24</v>
      </c>
      <c r="E73">
        <v>2.75</v>
      </c>
      <c r="F73">
        <v>25</v>
      </c>
      <c r="G73">
        <v>3.1</v>
      </c>
    </row>
    <row r="74" spans="2:7" x14ac:dyDescent="0.2">
      <c r="B74">
        <v>28</v>
      </c>
      <c r="C74">
        <v>3.8</v>
      </c>
      <c r="D74">
        <v>28</v>
      </c>
      <c r="E74">
        <v>2.2000000000000002</v>
      </c>
      <c r="F74">
        <v>150</v>
      </c>
      <c r="G74">
        <v>5.2</v>
      </c>
    </row>
    <row r="75" spans="2:7" x14ac:dyDescent="0.2">
      <c r="B75">
        <v>28</v>
      </c>
      <c r="C75">
        <v>5</v>
      </c>
      <c r="D75">
        <v>116</v>
      </c>
      <c r="E75">
        <v>6.1</v>
      </c>
      <c r="F75">
        <v>20</v>
      </c>
      <c r="G75">
        <v>2.2999999999999998</v>
      </c>
    </row>
    <row r="76" spans="2:7" x14ac:dyDescent="0.2">
      <c r="B76">
        <v>28</v>
      </c>
      <c r="C76">
        <v>3.1</v>
      </c>
      <c r="D76">
        <v>140</v>
      </c>
      <c r="E76">
        <v>7.5</v>
      </c>
      <c r="F76">
        <v>215</v>
      </c>
      <c r="G76">
        <v>13.3</v>
      </c>
    </row>
    <row r="77" spans="2:7" x14ac:dyDescent="0.2">
      <c r="B77">
        <v>28</v>
      </c>
      <c r="C77">
        <v>3.84</v>
      </c>
      <c r="D77">
        <v>35</v>
      </c>
      <c r="E77">
        <v>2.2999999999999998</v>
      </c>
      <c r="F77">
        <v>20</v>
      </c>
      <c r="G77">
        <v>2.7</v>
      </c>
    </row>
    <row r="78" spans="2:7" x14ac:dyDescent="0.2">
      <c r="B78">
        <v>28</v>
      </c>
      <c r="C78">
        <v>7.3</v>
      </c>
      <c r="D78">
        <v>31</v>
      </c>
      <c r="E78">
        <v>5.8</v>
      </c>
      <c r="F78">
        <v>195</v>
      </c>
      <c r="G78">
        <v>9</v>
      </c>
    </row>
    <row r="79" spans="2:7" x14ac:dyDescent="0.2">
      <c r="B79">
        <v>29.1</v>
      </c>
      <c r="C79">
        <v>1.9</v>
      </c>
      <c r="D79">
        <v>27.8</v>
      </c>
      <c r="E79">
        <v>2.1</v>
      </c>
      <c r="F79">
        <v>130</v>
      </c>
      <c r="G79">
        <v>6.8</v>
      </c>
    </row>
    <row r="80" spans="2:7" x14ac:dyDescent="0.2">
      <c r="B80">
        <v>30</v>
      </c>
      <c r="C80">
        <v>2.56</v>
      </c>
      <c r="D80">
        <v>8.5</v>
      </c>
      <c r="E80">
        <v>0.8</v>
      </c>
      <c r="F80">
        <v>23</v>
      </c>
      <c r="G80">
        <v>3.1</v>
      </c>
    </row>
    <row r="81" spans="2:7" x14ac:dyDescent="0.2">
      <c r="B81">
        <v>30</v>
      </c>
      <c r="C81">
        <v>2.65</v>
      </c>
      <c r="D81">
        <v>138</v>
      </c>
      <c r="E81">
        <v>5.32</v>
      </c>
      <c r="F81">
        <v>25</v>
      </c>
      <c r="G81">
        <v>2.8</v>
      </c>
    </row>
    <row r="82" spans="2:7" x14ac:dyDescent="0.2">
      <c r="B82">
        <v>30</v>
      </c>
      <c r="C82">
        <v>3.5</v>
      </c>
      <c r="D82">
        <v>27.3</v>
      </c>
      <c r="E82">
        <v>3.2</v>
      </c>
      <c r="F82">
        <v>13</v>
      </c>
      <c r="G82">
        <v>3</v>
      </c>
    </row>
    <row r="83" spans="2:7" x14ac:dyDescent="0.2">
      <c r="B83">
        <v>30</v>
      </c>
      <c r="C83">
        <v>3.5</v>
      </c>
      <c r="D83">
        <v>20</v>
      </c>
      <c r="E83">
        <v>1.26</v>
      </c>
      <c r="F83">
        <v>6</v>
      </c>
      <c r="G83">
        <v>0.8</v>
      </c>
    </row>
    <row r="84" spans="2:7" x14ac:dyDescent="0.2">
      <c r="B84">
        <v>30</v>
      </c>
      <c r="C84">
        <v>5.12</v>
      </c>
      <c r="D84">
        <v>11.5</v>
      </c>
      <c r="E84">
        <v>1.3</v>
      </c>
      <c r="F84">
        <v>5</v>
      </c>
      <c r="G84">
        <v>2</v>
      </c>
    </row>
    <row r="85" spans="2:7" x14ac:dyDescent="0.2">
      <c r="B85">
        <v>30</v>
      </c>
      <c r="C85">
        <v>2.4</v>
      </c>
      <c r="D85">
        <v>61</v>
      </c>
      <c r="E85">
        <v>4.2</v>
      </c>
      <c r="F85">
        <v>4</v>
      </c>
      <c r="G85">
        <v>1.4</v>
      </c>
    </row>
    <row r="86" spans="2:7" x14ac:dyDescent="0.2">
      <c r="B86">
        <v>30</v>
      </c>
      <c r="C86">
        <v>3.8</v>
      </c>
      <c r="F86">
        <v>20</v>
      </c>
      <c r="G86">
        <v>20.100000000000001</v>
      </c>
    </row>
    <row r="87" spans="2:7" x14ac:dyDescent="0.2">
      <c r="B87">
        <v>31</v>
      </c>
      <c r="C87">
        <v>3.3</v>
      </c>
      <c r="F87">
        <v>1.1299999999999999</v>
      </c>
      <c r="G87">
        <v>1.1299999999999999</v>
      </c>
    </row>
    <row r="88" spans="2:7" x14ac:dyDescent="0.2">
      <c r="B88">
        <v>31</v>
      </c>
      <c r="C88">
        <v>3.6</v>
      </c>
      <c r="F88">
        <v>17.5</v>
      </c>
      <c r="G88">
        <v>2.9</v>
      </c>
    </row>
    <row r="89" spans="2:7" x14ac:dyDescent="0.2">
      <c r="B89">
        <v>31</v>
      </c>
      <c r="C89">
        <v>2.5</v>
      </c>
      <c r="F89">
        <v>18.600000000000001</v>
      </c>
      <c r="G89">
        <v>1.32</v>
      </c>
    </row>
    <row r="90" spans="2:7" x14ac:dyDescent="0.2">
      <c r="B90">
        <v>31</v>
      </c>
      <c r="C90">
        <v>2.5</v>
      </c>
      <c r="F90">
        <v>18</v>
      </c>
      <c r="G90">
        <v>2.7</v>
      </c>
    </row>
    <row r="91" spans="2:7" x14ac:dyDescent="0.2">
      <c r="B91">
        <v>31</v>
      </c>
      <c r="C91">
        <v>3.6</v>
      </c>
      <c r="F91">
        <v>135</v>
      </c>
      <c r="G91">
        <v>5.2</v>
      </c>
    </row>
    <row r="92" spans="2:7" x14ac:dyDescent="0.2">
      <c r="B92">
        <v>31</v>
      </c>
      <c r="C92">
        <v>28.9</v>
      </c>
      <c r="F92">
        <v>25</v>
      </c>
      <c r="G92">
        <v>3.8</v>
      </c>
    </row>
    <row r="93" spans="2:7" x14ac:dyDescent="0.2">
      <c r="B93">
        <v>32</v>
      </c>
      <c r="C93">
        <v>5.4</v>
      </c>
      <c r="F93">
        <v>195</v>
      </c>
      <c r="G93">
        <v>9</v>
      </c>
    </row>
    <row r="94" spans="2:7" x14ac:dyDescent="0.2">
      <c r="B94">
        <v>32</v>
      </c>
      <c r="C94">
        <v>4.8</v>
      </c>
      <c r="F94">
        <v>155</v>
      </c>
      <c r="G94">
        <v>8.4</v>
      </c>
    </row>
    <row r="95" spans="2:7" x14ac:dyDescent="0.2">
      <c r="B95">
        <v>33</v>
      </c>
      <c r="C95">
        <v>4.55</v>
      </c>
      <c r="F95">
        <v>10</v>
      </c>
      <c r="G95">
        <v>2.1</v>
      </c>
    </row>
    <row r="96" spans="2:7" x14ac:dyDescent="0.2">
      <c r="B96">
        <v>34</v>
      </c>
      <c r="C96">
        <v>12</v>
      </c>
      <c r="F96">
        <v>150</v>
      </c>
      <c r="G96">
        <v>5</v>
      </c>
    </row>
    <row r="97" spans="2:7" x14ac:dyDescent="0.2">
      <c r="B97">
        <v>35</v>
      </c>
      <c r="C97">
        <v>4.2</v>
      </c>
      <c r="F97">
        <v>100</v>
      </c>
      <c r="G97">
        <v>4</v>
      </c>
    </row>
    <row r="98" spans="2:7" x14ac:dyDescent="0.2">
      <c r="B98">
        <v>35</v>
      </c>
      <c r="C98">
        <v>5.5</v>
      </c>
      <c r="F98">
        <v>235</v>
      </c>
      <c r="G98">
        <v>11</v>
      </c>
    </row>
    <row r="99" spans="2:7" x14ac:dyDescent="0.2">
      <c r="B99">
        <v>36</v>
      </c>
      <c r="C99">
        <v>4.7</v>
      </c>
      <c r="F99">
        <v>237</v>
      </c>
      <c r="G99">
        <v>11.7</v>
      </c>
    </row>
    <row r="100" spans="2:7" x14ac:dyDescent="0.2">
      <c r="B100">
        <v>38</v>
      </c>
      <c r="C100">
        <v>4.47</v>
      </c>
      <c r="F100">
        <v>212</v>
      </c>
      <c r="G100">
        <v>9</v>
      </c>
    </row>
    <row r="101" spans="2:7" x14ac:dyDescent="0.2">
      <c r="B101">
        <v>39</v>
      </c>
      <c r="C101">
        <v>7</v>
      </c>
    </row>
    <row r="102" spans="2:7" x14ac:dyDescent="0.2">
      <c r="B102">
        <v>39</v>
      </c>
      <c r="C102">
        <v>2.8</v>
      </c>
    </row>
    <row r="103" spans="2:7" x14ac:dyDescent="0.2">
      <c r="B103">
        <v>40</v>
      </c>
      <c r="C103">
        <v>5</v>
      </c>
    </row>
    <row r="104" spans="2:7" x14ac:dyDescent="0.2">
      <c r="B104">
        <v>40</v>
      </c>
      <c r="C104">
        <v>5.5</v>
      </c>
    </row>
    <row r="105" spans="2:7" x14ac:dyDescent="0.2">
      <c r="B105">
        <v>40</v>
      </c>
      <c r="C105">
        <v>6</v>
      </c>
    </row>
    <row r="106" spans="2:7" x14ac:dyDescent="0.2">
      <c r="B106">
        <v>40</v>
      </c>
      <c r="C106">
        <v>4.2</v>
      </c>
    </row>
    <row r="107" spans="2:7" x14ac:dyDescent="0.2">
      <c r="B107">
        <v>41</v>
      </c>
      <c r="C107">
        <v>5</v>
      </c>
    </row>
    <row r="108" spans="2:7" x14ac:dyDescent="0.2">
      <c r="B108">
        <v>50</v>
      </c>
      <c r="C108">
        <v>5.96</v>
      </c>
    </row>
    <row r="109" spans="2:7" x14ac:dyDescent="0.2">
      <c r="B109">
        <v>53</v>
      </c>
      <c r="C109">
        <v>5.8</v>
      </c>
    </row>
    <row r="110" spans="2:7" x14ac:dyDescent="0.2">
      <c r="B110">
        <v>55</v>
      </c>
      <c r="C110">
        <v>5.4</v>
      </c>
    </row>
    <row r="111" spans="2:7" x14ac:dyDescent="0.2">
      <c r="B111">
        <v>56</v>
      </c>
      <c r="C111">
        <v>5.4</v>
      </c>
    </row>
    <row r="112" spans="2:7" x14ac:dyDescent="0.2">
      <c r="B112">
        <v>57</v>
      </c>
      <c r="C112">
        <v>5</v>
      </c>
    </row>
    <row r="113" spans="2:3" x14ac:dyDescent="0.2">
      <c r="B113">
        <v>60</v>
      </c>
      <c r="C113">
        <v>4</v>
      </c>
    </row>
    <row r="114" spans="2:3" x14ac:dyDescent="0.2">
      <c r="B114">
        <v>60</v>
      </c>
      <c r="C114">
        <v>5</v>
      </c>
    </row>
    <row r="115" spans="2:3" x14ac:dyDescent="0.2">
      <c r="B115">
        <v>60</v>
      </c>
      <c r="C115">
        <v>4.4000000000000004</v>
      </c>
    </row>
    <row r="116" spans="2:3" x14ac:dyDescent="0.2">
      <c r="B116">
        <v>60.5</v>
      </c>
      <c r="C116">
        <v>12</v>
      </c>
    </row>
    <row r="117" spans="2:3" x14ac:dyDescent="0.2">
      <c r="B117">
        <v>61</v>
      </c>
      <c r="C117">
        <v>7.1</v>
      </c>
    </row>
    <row r="118" spans="2:3" x14ac:dyDescent="0.2">
      <c r="B118">
        <v>72</v>
      </c>
      <c r="C118">
        <v>13</v>
      </c>
    </row>
    <row r="119" spans="2:3" x14ac:dyDescent="0.2">
      <c r="B119">
        <v>73</v>
      </c>
      <c r="C119">
        <v>4.5999999999999996</v>
      </c>
    </row>
    <row r="120" spans="2:3" x14ac:dyDescent="0.2">
      <c r="B120">
        <v>74</v>
      </c>
      <c r="C120">
        <v>3.2</v>
      </c>
    </row>
    <row r="121" spans="2:3" x14ac:dyDescent="0.2">
      <c r="B121">
        <v>74</v>
      </c>
      <c r="C121">
        <v>4.5599999999999996</v>
      </c>
    </row>
    <row r="122" spans="2:3" x14ac:dyDescent="0.2">
      <c r="B122">
        <v>75</v>
      </c>
      <c r="C122">
        <v>5.09</v>
      </c>
    </row>
    <row r="123" spans="2:3" x14ac:dyDescent="0.2">
      <c r="B123">
        <v>76</v>
      </c>
      <c r="C123">
        <v>6.9</v>
      </c>
    </row>
    <row r="124" spans="2:3" x14ac:dyDescent="0.2">
      <c r="B124">
        <v>76</v>
      </c>
      <c r="C124">
        <v>4.8</v>
      </c>
    </row>
    <row r="125" spans="2:3" x14ac:dyDescent="0.2">
      <c r="B125">
        <v>78</v>
      </c>
      <c r="C125">
        <v>11</v>
      </c>
    </row>
    <row r="126" spans="2:3" x14ac:dyDescent="0.2">
      <c r="B126">
        <v>80</v>
      </c>
      <c r="C126">
        <v>8</v>
      </c>
    </row>
    <row r="127" spans="2:3" x14ac:dyDescent="0.2">
      <c r="B127">
        <v>80</v>
      </c>
      <c r="C127">
        <v>7</v>
      </c>
    </row>
    <row r="128" spans="2:3" x14ac:dyDescent="0.2">
      <c r="B128">
        <v>88</v>
      </c>
      <c r="C128">
        <v>6.8</v>
      </c>
    </row>
    <row r="129" spans="2:3" x14ac:dyDescent="0.2">
      <c r="B129">
        <v>88</v>
      </c>
      <c r="C129">
        <v>6.3</v>
      </c>
    </row>
    <row r="130" spans="2:3" x14ac:dyDescent="0.2">
      <c r="B130">
        <v>89</v>
      </c>
      <c r="C130">
        <v>5.2</v>
      </c>
    </row>
    <row r="131" spans="2:3" x14ac:dyDescent="0.2">
      <c r="B131">
        <v>89.5</v>
      </c>
      <c r="C131">
        <v>6.4</v>
      </c>
    </row>
    <row r="132" spans="2:3" x14ac:dyDescent="0.2">
      <c r="B132">
        <v>90</v>
      </c>
      <c r="C132">
        <v>7</v>
      </c>
    </row>
    <row r="133" spans="2:3" x14ac:dyDescent="0.2">
      <c r="B133">
        <v>90</v>
      </c>
      <c r="C133">
        <v>7.8</v>
      </c>
    </row>
    <row r="134" spans="2:3" x14ac:dyDescent="0.2">
      <c r="B134">
        <v>90</v>
      </c>
      <c r="C134">
        <v>5.7</v>
      </c>
    </row>
    <row r="135" spans="2:3" x14ac:dyDescent="0.2">
      <c r="B135">
        <v>91</v>
      </c>
      <c r="C135">
        <v>5.7</v>
      </c>
    </row>
    <row r="136" spans="2:3" x14ac:dyDescent="0.2">
      <c r="B136">
        <v>94</v>
      </c>
      <c r="C136">
        <v>6.25</v>
      </c>
    </row>
    <row r="137" spans="2:3" x14ac:dyDescent="0.2">
      <c r="B137">
        <v>95.6</v>
      </c>
      <c r="C137">
        <v>4.9000000000000004</v>
      </c>
    </row>
    <row r="138" spans="2:3" x14ac:dyDescent="0.2">
      <c r="B138">
        <v>96</v>
      </c>
      <c r="C138">
        <v>6</v>
      </c>
    </row>
    <row r="139" spans="2:3" x14ac:dyDescent="0.2">
      <c r="B139">
        <v>97</v>
      </c>
      <c r="C139">
        <v>6.5</v>
      </c>
    </row>
    <row r="140" spans="2:3" x14ac:dyDescent="0.2">
      <c r="B140">
        <v>99</v>
      </c>
      <c r="C140">
        <v>6.2</v>
      </c>
    </row>
    <row r="141" spans="2:3" x14ac:dyDescent="0.2">
      <c r="B141">
        <v>100</v>
      </c>
      <c r="C141">
        <v>7.5</v>
      </c>
    </row>
    <row r="142" spans="2:3" x14ac:dyDescent="0.2">
      <c r="B142">
        <v>104</v>
      </c>
      <c r="C142">
        <v>7.2</v>
      </c>
    </row>
    <row r="143" spans="2:3" x14ac:dyDescent="0.2">
      <c r="B143">
        <v>104</v>
      </c>
      <c r="C143">
        <v>7.2</v>
      </c>
    </row>
    <row r="144" spans="2:3" x14ac:dyDescent="0.2">
      <c r="B144">
        <v>106</v>
      </c>
      <c r="C144">
        <v>14</v>
      </c>
    </row>
    <row r="145" spans="2:3" x14ac:dyDescent="0.2">
      <c r="B145">
        <v>115</v>
      </c>
      <c r="C145">
        <v>8.4</v>
      </c>
    </row>
    <row r="146" spans="2:3" x14ac:dyDescent="0.2">
      <c r="B146">
        <v>115</v>
      </c>
      <c r="C146">
        <v>8.4</v>
      </c>
    </row>
    <row r="147" spans="2:3" x14ac:dyDescent="0.2">
      <c r="B147">
        <v>123</v>
      </c>
      <c r="C147">
        <v>5</v>
      </c>
    </row>
    <row r="148" spans="2:3" x14ac:dyDescent="0.2">
      <c r="B148">
        <v>140</v>
      </c>
      <c r="C148">
        <v>4</v>
      </c>
    </row>
    <row r="149" spans="2:3" x14ac:dyDescent="0.2">
      <c r="B149">
        <v>148</v>
      </c>
      <c r="C149">
        <v>4.7</v>
      </c>
    </row>
    <row r="150" spans="2:3" x14ac:dyDescent="0.2">
      <c r="B150">
        <v>180</v>
      </c>
      <c r="C150">
        <v>15.1</v>
      </c>
    </row>
    <row r="151" spans="2:3" x14ac:dyDescent="0.2">
      <c r="B151">
        <v>8.5</v>
      </c>
      <c r="C151">
        <v>0.5</v>
      </c>
    </row>
    <row r="152" spans="2:3" x14ac:dyDescent="0.2">
      <c r="B152">
        <v>140</v>
      </c>
      <c r="C152">
        <v>8.8000000000000007</v>
      </c>
    </row>
    <row r="153" spans="2:3" x14ac:dyDescent="0.2">
      <c r="B153">
        <v>13.5</v>
      </c>
      <c r="C153">
        <v>2.2999999999999998</v>
      </c>
    </row>
    <row r="154" spans="2:3" x14ac:dyDescent="0.2">
      <c r="B154">
        <v>4</v>
      </c>
      <c r="C154">
        <v>4</v>
      </c>
    </row>
    <row r="155" spans="2:3" x14ac:dyDescent="0.2">
      <c r="B155">
        <v>5</v>
      </c>
      <c r="C155">
        <v>1.6</v>
      </c>
    </row>
    <row r="156" spans="2:3" x14ac:dyDescent="0.2">
      <c r="B156">
        <v>150</v>
      </c>
      <c r="C156">
        <v>5.7</v>
      </c>
    </row>
    <row r="157" spans="2:3" x14ac:dyDescent="0.2">
      <c r="B157">
        <v>27</v>
      </c>
      <c r="C157">
        <v>6.5</v>
      </c>
    </row>
    <row r="158" spans="2:3" x14ac:dyDescent="0.2">
      <c r="B158">
        <v>6.5</v>
      </c>
      <c r="C158">
        <v>3.5</v>
      </c>
    </row>
    <row r="159" spans="2:3" x14ac:dyDescent="0.2">
      <c r="B159">
        <v>73</v>
      </c>
      <c r="C159">
        <v>5.0999999999999996</v>
      </c>
    </row>
    <row r="160" spans="2:3" x14ac:dyDescent="0.2">
      <c r="B160">
        <v>25</v>
      </c>
      <c r="C160">
        <v>5.5</v>
      </c>
    </row>
    <row r="161" spans="2:3" x14ac:dyDescent="0.2">
      <c r="B161">
        <v>120</v>
      </c>
      <c r="C161">
        <v>3.2</v>
      </c>
    </row>
    <row r="162" spans="2:3" x14ac:dyDescent="0.2">
      <c r="B162">
        <v>2</v>
      </c>
      <c r="C162">
        <v>0.37</v>
      </c>
    </row>
    <row r="163" spans="2:3" x14ac:dyDescent="0.2">
      <c r="B163">
        <v>38</v>
      </c>
      <c r="C163">
        <v>4.8</v>
      </c>
    </row>
    <row r="164" spans="2:3" x14ac:dyDescent="0.2">
      <c r="B164">
        <v>26</v>
      </c>
      <c r="C164">
        <v>3.6</v>
      </c>
    </row>
    <row r="165" spans="2:3" x14ac:dyDescent="0.2">
      <c r="B165">
        <v>1</v>
      </c>
      <c r="C165">
        <v>1.95</v>
      </c>
    </row>
    <row r="166" spans="2:3" x14ac:dyDescent="0.2">
      <c r="B166">
        <v>10</v>
      </c>
      <c r="C166">
        <v>1</v>
      </c>
    </row>
    <row r="167" spans="2:3" x14ac:dyDescent="0.2">
      <c r="B167">
        <v>70</v>
      </c>
      <c r="C167">
        <v>5.96</v>
      </c>
    </row>
    <row r="168" spans="2:3" x14ac:dyDescent="0.2">
      <c r="B168">
        <v>30.5</v>
      </c>
      <c r="C168">
        <v>4.8</v>
      </c>
    </row>
    <row r="169" spans="2:3" x14ac:dyDescent="0.2">
      <c r="B169">
        <v>0.9</v>
      </c>
      <c r="C169">
        <v>2.08</v>
      </c>
    </row>
    <row r="170" spans="2:3" x14ac:dyDescent="0.2">
      <c r="B170">
        <v>71.5</v>
      </c>
      <c r="C170">
        <v>5.7</v>
      </c>
    </row>
    <row r="171" spans="2:3" x14ac:dyDescent="0.2">
      <c r="B171">
        <v>2.5</v>
      </c>
      <c r="C171">
        <v>1.4</v>
      </c>
    </row>
    <row r="172" spans="2:3" x14ac:dyDescent="0.2">
      <c r="B172">
        <v>2.62</v>
      </c>
      <c r="C172">
        <v>1.1000000000000001</v>
      </c>
    </row>
    <row r="173" spans="2:3" x14ac:dyDescent="0.2">
      <c r="B173">
        <v>31</v>
      </c>
      <c r="C173">
        <v>5.3</v>
      </c>
    </row>
    <row r="174" spans="2:3" x14ac:dyDescent="0.2">
      <c r="B174">
        <v>6.7</v>
      </c>
      <c r="C174">
        <v>4.8</v>
      </c>
    </row>
    <row r="175" spans="2:3" x14ac:dyDescent="0.2">
      <c r="B175">
        <v>140</v>
      </c>
      <c r="C175">
        <v>12</v>
      </c>
    </row>
    <row r="176" spans="2:3" x14ac:dyDescent="0.2">
      <c r="B176">
        <v>146</v>
      </c>
      <c r="C176">
        <v>6.1</v>
      </c>
    </row>
    <row r="177" spans="2:3" x14ac:dyDescent="0.2">
      <c r="B177">
        <v>0.75</v>
      </c>
      <c r="C177">
        <v>1.1000000000000001</v>
      </c>
    </row>
    <row r="178" spans="2:3" x14ac:dyDescent="0.2">
      <c r="B178">
        <v>82.2</v>
      </c>
      <c r="C178">
        <v>3.77</v>
      </c>
    </row>
    <row r="179" spans="2:3" x14ac:dyDescent="0.2">
      <c r="B179">
        <v>216</v>
      </c>
      <c r="C179">
        <v>9.68</v>
      </c>
    </row>
    <row r="180" spans="2:3" x14ac:dyDescent="0.2">
      <c r="B180">
        <v>123</v>
      </c>
      <c r="C180">
        <v>5</v>
      </c>
    </row>
    <row r="181" spans="2:3" x14ac:dyDescent="0.2">
      <c r="B181">
        <v>61</v>
      </c>
      <c r="C181">
        <v>6.4</v>
      </c>
    </row>
    <row r="182" spans="2:3" x14ac:dyDescent="0.2">
      <c r="B182">
        <v>21</v>
      </c>
      <c r="C182">
        <v>2.2999999999999998</v>
      </c>
    </row>
    <row r="183" spans="2:3" x14ac:dyDescent="0.2">
      <c r="B183">
        <v>3</v>
      </c>
      <c r="C183">
        <v>2.4</v>
      </c>
    </row>
    <row r="184" spans="2:3" x14ac:dyDescent="0.2">
      <c r="B184">
        <v>1.8049999999999999</v>
      </c>
      <c r="C184">
        <v>3.6</v>
      </c>
    </row>
    <row r="185" spans="2:3" x14ac:dyDescent="0.2">
      <c r="B185">
        <v>2.62</v>
      </c>
      <c r="C185">
        <v>2.27</v>
      </c>
    </row>
    <row r="186" spans="2:3" x14ac:dyDescent="0.2">
      <c r="B186">
        <v>0.5</v>
      </c>
      <c r="C186">
        <v>11.6</v>
      </c>
    </row>
    <row r="187" spans="2:3" x14ac:dyDescent="0.2">
      <c r="B187">
        <v>12</v>
      </c>
      <c r="C187">
        <v>2.4500000000000002</v>
      </c>
    </row>
    <row r="188" spans="2:3" x14ac:dyDescent="0.2">
      <c r="B188">
        <v>73</v>
      </c>
      <c r="C188">
        <v>4.8</v>
      </c>
    </row>
    <row r="189" spans="2:3" x14ac:dyDescent="0.2">
      <c r="B189">
        <v>1.5</v>
      </c>
      <c r="C189">
        <v>1.8</v>
      </c>
    </row>
    <row r="190" spans="2:3" x14ac:dyDescent="0.2">
      <c r="B190">
        <v>13</v>
      </c>
      <c r="C190">
        <v>0.95</v>
      </c>
    </row>
    <row r="191" spans="2:3" x14ac:dyDescent="0.2">
      <c r="B191">
        <v>132</v>
      </c>
      <c r="C191">
        <v>8.1999999999999993</v>
      </c>
    </row>
    <row r="192" spans="2:3" x14ac:dyDescent="0.2">
      <c r="B192">
        <v>146</v>
      </c>
      <c r="C192">
        <v>13.3</v>
      </c>
    </row>
    <row r="193" spans="2:3" x14ac:dyDescent="0.2">
      <c r="B193">
        <v>2.5</v>
      </c>
      <c r="C193">
        <v>2.75</v>
      </c>
    </row>
    <row r="194" spans="2:3" x14ac:dyDescent="0.2">
      <c r="B194">
        <v>50</v>
      </c>
      <c r="C194">
        <v>6.5</v>
      </c>
    </row>
    <row r="195" spans="2:3" x14ac:dyDescent="0.2">
      <c r="B195">
        <v>2.5</v>
      </c>
      <c r="C195">
        <v>3.3</v>
      </c>
    </row>
    <row r="196" spans="2:3" x14ac:dyDescent="0.2">
      <c r="B196">
        <v>0.9</v>
      </c>
      <c r="C196">
        <v>1.38</v>
      </c>
    </row>
    <row r="197" spans="2:3" x14ac:dyDescent="0.2">
      <c r="B197">
        <v>20</v>
      </c>
      <c r="C197">
        <v>5.9</v>
      </c>
    </row>
    <row r="198" spans="2:3" x14ac:dyDescent="0.2">
      <c r="B198">
        <v>7</v>
      </c>
      <c r="C198">
        <v>2.8</v>
      </c>
    </row>
    <row r="199" spans="2:3" x14ac:dyDescent="0.2">
      <c r="B199">
        <v>1.93</v>
      </c>
      <c r="C199">
        <v>3</v>
      </c>
    </row>
    <row r="200" spans="2:3" x14ac:dyDescent="0.2">
      <c r="B200">
        <v>129</v>
      </c>
      <c r="C200">
        <v>4.7</v>
      </c>
    </row>
    <row r="201" spans="2:3" x14ac:dyDescent="0.2">
      <c r="B201">
        <v>118</v>
      </c>
      <c r="C201">
        <v>5.6</v>
      </c>
    </row>
    <row r="202" spans="2:3" x14ac:dyDescent="0.2">
      <c r="B202">
        <v>24</v>
      </c>
      <c r="C202">
        <v>2.2999999999999998</v>
      </c>
    </row>
    <row r="203" spans="2:3" x14ac:dyDescent="0.2">
      <c r="B203">
        <v>123</v>
      </c>
      <c r="C203">
        <v>5.8</v>
      </c>
    </row>
    <row r="204" spans="2:3" x14ac:dyDescent="0.2">
      <c r="B204">
        <v>30</v>
      </c>
      <c r="C204">
        <v>3.1</v>
      </c>
    </row>
    <row r="205" spans="2:3" x14ac:dyDescent="0.2">
      <c r="B205">
        <v>4</v>
      </c>
      <c r="C205">
        <v>2.2400000000000002</v>
      </c>
    </row>
    <row r="206" spans="2:3" x14ac:dyDescent="0.2">
      <c r="B206">
        <v>141</v>
      </c>
      <c r="C206">
        <v>9.3000000000000007</v>
      </c>
    </row>
    <row r="207" spans="2:3" x14ac:dyDescent="0.2">
      <c r="B207">
        <v>29</v>
      </c>
      <c r="C207">
        <v>4.5</v>
      </c>
    </row>
    <row r="208" spans="2:3" x14ac:dyDescent="0.2">
      <c r="B208">
        <v>95</v>
      </c>
      <c r="C208">
        <v>5.6</v>
      </c>
    </row>
    <row r="209" spans="2:3" x14ac:dyDescent="0.2">
      <c r="B209">
        <v>240</v>
      </c>
      <c r="C209">
        <v>11.5</v>
      </c>
    </row>
    <row r="210" spans="2:3" x14ac:dyDescent="0.2">
      <c r="B210">
        <v>0.51</v>
      </c>
      <c r="C210">
        <v>2.36</v>
      </c>
    </row>
    <row r="211" spans="2:3" x14ac:dyDescent="0.2">
      <c r="B211">
        <v>5</v>
      </c>
      <c r="C211">
        <v>3.8</v>
      </c>
    </row>
    <row r="212" spans="2:3" x14ac:dyDescent="0.2">
      <c r="B212">
        <v>10.199999999999999</v>
      </c>
      <c r="C212">
        <v>4.4000000000000004</v>
      </c>
    </row>
    <row r="213" spans="2:3" x14ac:dyDescent="0.2">
      <c r="B213">
        <v>2.6</v>
      </c>
      <c r="C213">
        <v>3.46</v>
      </c>
    </row>
    <row r="214" spans="2:3" x14ac:dyDescent="0.2">
      <c r="B214">
        <v>85</v>
      </c>
      <c r="C214">
        <v>7</v>
      </c>
    </row>
    <row r="215" spans="2:3" x14ac:dyDescent="0.2">
      <c r="B215">
        <v>146</v>
      </c>
      <c r="C215">
        <v>6.1</v>
      </c>
    </row>
    <row r="216" spans="2:3" x14ac:dyDescent="0.2">
      <c r="B216">
        <v>30</v>
      </c>
      <c r="C216">
        <v>3.6</v>
      </c>
    </row>
    <row r="217" spans="2:3" x14ac:dyDescent="0.2">
      <c r="B217">
        <v>0.5</v>
      </c>
      <c r="C217">
        <v>1.37</v>
      </c>
    </row>
    <row r="218" spans="2:3" x14ac:dyDescent="0.2">
      <c r="B218">
        <v>24</v>
      </c>
      <c r="C218">
        <v>3.39</v>
      </c>
    </row>
    <row r="219" spans="2:3" x14ac:dyDescent="0.2">
      <c r="B219">
        <v>31</v>
      </c>
      <c r="C219">
        <v>5.3</v>
      </c>
    </row>
    <row r="220" spans="2:3" x14ac:dyDescent="0.2">
      <c r="B220">
        <v>27</v>
      </c>
      <c r="C220">
        <v>6.5</v>
      </c>
    </row>
    <row r="221" spans="2:3" x14ac:dyDescent="0.2">
      <c r="B221">
        <v>20</v>
      </c>
      <c r="C221">
        <v>3.4</v>
      </c>
    </row>
    <row r="222" spans="2:3" x14ac:dyDescent="0.2">
      <c r="B222">
        <v>52.5</v>
      </c>
      <c r="C222">
        <v>4.4000000000000004</v>
      </c>
    </row>
    <row r="223" spans="2:3" x14ac:dyDescent="0.2">
      <c r="B223">
        <v>133.5</v>
      </c>
      <c r="C223">
        <v>12</v>
      </c>
    </row>
    <row r="224" spans="2:3" x14ac:dyDescent="0.2">
      <c r="B224">
        <v>25</v>
      </c>
      <c r="C224">
        <v>1.98</v>
      </c>
    </row>
    <row r="225" spans="2:3" x14ac:dyDescent="0.2">
      <c r="B225">
        <v>2</v>
      </c>
      <c r="C225">
        <v>2.9</v>
      </c>
    </row>
    <row r="226" spans="2:3" x14ac:dyDescent="0.2">
      <c r="B226">
        <v>2.62</v>
      </c>
      <c r="C226">
        <v>4.4000000000000004</v>
      </c>
    </row>
    <row r="227" spans="2:3" x14ac:dyDescent="0.2">
      <c r="B227">
        <v>11.5</v>
      </c>
      <c r="C227">
        <v>2.6</v>
      </c>
    </row>
    <row r="228" spans="2:3" x14ac:dyDescent="0.2">
      <c r="B228">
        <v>25</v>
      </c>
      <c r="C228">
        <v>4.0599999999999996</v>
      </c>
    </row>
    <row r="229" spans="2:3" x14ac:dyDescent="0.2">
      <c r="B229">
        <v>29.1</v>
      </c>
      <c r="C229">
        <v>1.9</v>
      </c>
    </row>
    <row r="230" spans="2:3" x14ac:dyDescent="0.2">
      <c r="B230">
        <v>3.5</v>
      </c>
      <c r="C230">
        <v>3.3</v>
      </c>
    </row>
    <row r="231" spans="2:3" x14ac:dyDescent="0.2">
      <c r="B231">
        <v>32</v>
      </c>
      <c r="C231">
        <v>2.5</v>
      </c>
    </row>
    <row r="232" spans="2:3" x14ac:dyDescent="0.2">
      <c r="B232">
        <v>2.7</v>
      </c>
      <c r="C232">
        <v>1.5</v>
      </c>
    </row>
    <row r="233" spans="2:3" x14ac:dyDescent="0.2">
      <c r="B233">
        <v>14.5</v>
      </c>
      <c r="C233">
        <v>5.7</v>
      </c>
    </row>
    <row r="234" spans="2:3" x14ac:dyDescent="0.2">
      <c r="B234">
        <v>2</v>
      </c>
      <c r="C234">
        <v>4.45</v>
      </c>
    </row>
    <row r="235" spans="2:3" x14ac:dyDescent="0.2">
      <c r="B235">
        <v>3</v>
      </c>
      <c r="C235">
        <v>7.5</v>
      </c>
    </row>
    <row r="236" spans="2:3" x14ac:dyDescent="0.2">
      <c r="B236">
        <v>24</v>
      </c>
      <c r="C236">
        <v>3</v>
      </c>
    </row>
    <row r="237" spans="2:3" x14ac:dyDescent="0.2">
      <c r="B237">
        <v>31</v>
      </c>
      <c r="C237">
        <v>3</v>
      </c>
    </row>
    <row r="238" spans="2:3" x14ac:dyDescent="0.2">
      <c r="B238">
        <v>24</v>
      </c>
      <c r="C238">
        <v>5.7</v>
      </c>
    </row>
    <row r="239" spans="2:3" x14ac:dyDescent="0.2">
      <c r="B239">
        <v>0.4</v>
      </c>
      <c r="C239">
        <v>1.1599999999999999</v>
      </c>
    </row>
    <row r="240" spans="2:3" x14ac:dyDescent="0.2">
      <c r="B240">
        <v>2.35</v>
      </c>
      <c r="C240">
        <v>4.51</v>
      </c>
    </row>
    <row r="241" spans="2:3" x14ac:dyDescent="0.2">
      <c r="B241">
        <v>53</v>
      </c>
      <c r="C241">
        <v>6.3</v>
      </c>
    </row>
    <row r="242" spans="2:3" x14ac:dyDescent="0.2">
      <c r="B242">
        <v>63</v>
      </c>
      <c r="C242">
        <v>4.2</v>
      </c>
    </row>
    <row r="243" spans="2:3" x14ac:dyDescent="0.2">
      <c r="B243">
        <v>2</v>
      </c>
      <c r="C243">
        <v>0.63</v>
      </c>
    </row>
    <row r="244" spans="2:3" x14ac:dyDescent="0.2">
      <c r="B244">
        <v>36</v>
      </c>
      <c r="C244">
        <v>2.2000000000000002</v>
      </c>
    </row>
    <row r="245" spans="2:3" x14ac:dyDescent="0.2">
      <c r="B245">
        <v>25.3</v>
      </c>
      <c r="C245">
        <v>5.0999999999999996</v>
      </c>
    </row>
    <row r="246" spans="2:3" x14ac:dyDescent="0.2">
      <c r="B246">
        <v>23</v>
      </c>
      <c r="C246">
        <v>2.8</v>
      </c>
    </row>
    <row r="247" spans="2:3" x14ac:dyDescent="0.2">
      <c r="B247">
        <v>68.5</v>
      </c>
      <c r="C247">
        <v>3.78</v>
      </c>
    </row>
    <row r="248" spans="2:3" x14ac:dyDescent="0.2">
      <c r="B248">
        <v>13</v>
      </c>
      <c r="C248">
        <v>1.94</v>
      </c>
    </row>
    <row r="249" spans="2:3" x14ac:dyDescent="0.2">
      <c r="B249">
        <v>35</v>
      </c>
      <c r="C249">
        <v>3.2</v>
      </c>
    </row>
    <row r="250" spans="2:3" x14ac:dyDescent="0.2">
      <c r="B250">
        <v>39</v>
      </c>
      <c r="C250">
        <v>7.3</v>
      </c>
    </row>
    <row r="251" spans="2:3" x14ac:dyDescent="0.2">
      <c r="B251">
        <v>10</v>
      </c>
      <c r="C251">
        <v>3</v>
      </c>
    </row>
    <row r="252" spans="2:3" x14ac:dyDescent="0.2">
      <c r="B252">
        <v>5</v>
      </c>
      <c r="C252">
        <v>2.4700000000000002</v>
      </c>
    </row>
    <row r="253" spans="2:3" x14ac:dyDescent="0.2">
      <c r="B253">
        <v>50</v>
      </c>
      <c r="C253">
        <v>6.8</v>
      </c>
    </row>
    <row r="254" spans="2:3" x14ac:dyDescent="0.2">
      <c r="B254">
        <v>29</v>
      </c>
      <c r="C254">
        <v>2.7</v>
      </c>
    </row>
    <row r="255" spans="2:3" x14ac:dyDescent="0.2">
      <c r="B255">
        <v>31</v>
      </c>
      <c r="C255">
        <v>4.6100000000000003</v>
      </c>
    </row>
    <row r="256" spans="2:3" x14ac:dyDescent="0.2">
      <c r="B256">
        <v>27</v>
      </c>
      <c r="C256">
        <v>3.55</v>
      </c>
    </row>
    <row r="257" spans="2:3" x14ac:dyDescent="0.2">
      <c r="B257">
        <v>20</v>
      </c>
      <c r="C257">
        <v>5</v>
      </c>
    </row>
    <row r="258" spans="2:3" x14ac:dyDescent="0.2">
      <c r="B258">
        <v>2.4</v>
      </c>
      <c r="C258">
        <v>3.5</v>
      </c>
    </row>
    <row r="259" spans="2:3" x14ac:dyDescent="0.2">
      <c r="B259">
        <v>22.6</v>
      </c>
      <c r="C259">
        <v>4.04</v>
      </c>
    </row>
    <row r="260" spans="2:3" x14ac:dyDescent="0.2">
      <c r="B260">
        <v>40</v>
      </c>
      <c r="C260">
        <v>3.5</v>
      </c>
    </row>
    <row r="261" spans="2:3" x14ac:dyDescent="0.2">
      <c r="B261">
        <v>29</v>
      </c>
      <c r="C261">
        <v>3.6</v>
      </c>
    </row>
    <row r="262" spans="2:3" x14ac:dyDescent="0.2">
      <c r="B262">
        <v>26</v>
      </c>
      <c r="C262">
        <v>5.0999999999999996</v>
      </c>
    </row>
    <row r="263" spans="2:3" x14ac:dyDescent="0.2">
      <c r="B263">
        <v>1.8</v>
      </c>
      <c r="C263">
        <v>0.63</v>
      </c>
    </row>
    <row r="264" spans="2:3" x14ac:dyDescent="0.2">
      <c r="B264">
        <v>89</v>
      </c>
      <c r="C264">
        <v>6.39</v>
      </c>
    </row>
    <row r="265" spans="2:3" x14ac:dyDescent="0.2">
      <c r="B265">
        <v>137</v>
      </c>
      <c r="C265">
        <v>7.9</v>
      </c>
    </row>
    <row r="266" spans="2:3" x14ac:dyDescent="0.2">
      <c r="B266">
        <v>24.5</v>
      </c>
      <c r="C266">
        <v>6.7</v>
      </c>
    </row>
    <row r="267" spans="2:3" x14ac:dyDescent="0.2">
      <c r="B267">
        <v>25</v>
      </c>
      <c r="C267">
        <v>5.0999999999999996</v>
      </c>
    </row>
    <row r="268" spans="2:3" x14ac:dyDescent="0.2">
      <c r="B268">
        <v>38</v>
      </c>
      <c r="C268">
        <v>2.2000000000000002</v>
      </c>
    </row>
    <row r="269" spans="2:3" x14ac:dyDescent="0.2">
      <c r="B269">
        <v>25</v>
      </c>
      <c r="C269">
        <v>3.3</v>
      </c>
    </row>
    <row r="270" spans="2:3" x14ac:dyDescent="0.2">
      <c r="B270">
        <v>0.81030000000000002</v>
      </c>
      <c r="C270">
        <v>2</v>
      </c>
    </row>
    <row r="271" spans="2:3" x14ac:dyDescent="0.2">
      <c r="B271">
        <v>26</v>
      </c>
      <c r="C271">
        <v>3.4</v>
      </c>
    </row>
    <row r="272" spans="2:3" x14ac:dyDescent="0.2">
      <c r="B272">
        <v>5.5</v>
      </c>
      <c r="C272">
        <v>1.3</v>
      </c>
    </row>
    <row r="273" spans="2:3" x14ac:dyDescent="0.2">
      <c r="B273">
        <v>27</v>
      </c>
      <c r="C273">
        <v>2.8</v>
      </c>
    </row>
    <row r="274" spans="2:3" x14ac:dyDescent="0.2">
      <c r="B274">
        <v>0.8</v>
      </c>
      <c r="C274">
        <v>2.8</v>
      </c>
    </row>
    <row r="275" spans="2:3" x14ac:dyDescent="0.2">
      <c r="B275">
        <v>5.8</v>
      </c>
      <c r="C275">
        <v>3.2</v>
      </c>
    </row>
    <row r="276" spans="2:3" x14ac:dyDescent="0.2">
      <c r="B276">
        <v>4</v>
      </c>
      <c r="C276">
        <v>1.46</v>
      </c>
    </row>
    <row r="277" spans="2:3" x14ac:dyDescent="0.2">
      <c r="B277">
        <v>0.65</v>
      </c>
      <c r="C277">
        <v>6.5</v>
      </c>
    </row>
    <row r="278" spans="2:3" x14ac:dyDescent="0.2">
      <c r="B278">
        <v>5</v>
      </c>
      <c r="C278">
        <v>2.5</v>
      </c>
    </row>
    <row r="279" spans="2:3" x14ac:dyDescent="0.2">
      <c r="B279">
        <v>15</v>
      </c>
      <c r="C279">
        <v>5.33</v>
      </c>
    </row>
    <row r="280" spans="2:3" x14ac:dyDescent="0.2">
      <c r="B280">
        <v>2.8</v>
      </c>
      <c r="C280">
        <v>5.9</v>
      </c>
    </row>
    <row r="281" spans="2:3" x14ac:dyDescent="0.2">
      <c r="B281">
        <v>2.2999999999999998</v>
      </c>
      <c r="C281">
        <v>1.1100000000000001</v>
      </c>
    </row>
    <row r="282" spans="2:3" x14ac:dyDescent="0.2">
      <c r="B282">
        <v>40</v>
      </c>
      <c r="C282">
        <v>4.8</v>
      </c>
    </row>
    <row r="283" spans="2:3" x14ac:dyDescent="0.2">
      <c r="B283">
        <v>3.95</v>
      </c>
      <c r="C283">
        <v>2.23</v>
      </c>
    </row>
    <row r="284" spans="2:3" x14ac:dyDescent="0.2">
      <c r="B284">
        <v>28.5</v>
      </c>
      <c r="C284">
        <v>2.79</v>
      </c>
    </row>
    <row r="285" spans="2:3" x14ac:dyDescent="0.2">
      <c r="B285">
        <v>30</v>
      </c>
      <c r="C285">
        <v>1.92</v>
      </c>
    </row>
    <row r="286" spans="2:3" x14ac:dyDescent="0.2">
      <c r="B286">
        <v>150</v>
      </c>
      <c r="C286">
        <v>6.2</v>
      </c>
    </row>
    <row r="315" spans="3:3" x14ac:dyDescent="0.2">
      <c r="C315" s="3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Readme</vt:lpstr>
      <vt:lpstr>All</vt:lpstr>
      <vt:lpstr>Plot_NF_Vs_Frequency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bryan lin</dc:creator>
  <cp:keywords/>
  <dc:description/>
  <cp:lastModifiedBy>Caroline Turner</cp:lastModifiedBy>
  <cp:revision/>
  <dcterms:created xsi:type="dcterms:W3CDTF">2015-06-05T18:17:20Z</dcterms:created>
  <dcterms:modified xsi:type="dcterms:W3CDTF">2025-11-20T12:25:10Z</dcterms:modified>
  <cp:category/>
  <cp:contentStatus/>
</cp:coreProperties>
</file>